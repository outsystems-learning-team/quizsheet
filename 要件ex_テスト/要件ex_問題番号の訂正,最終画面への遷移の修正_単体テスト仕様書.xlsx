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010163\Documents\quizsheet\要件ex_テスト\"/>
    </mc:Choice>
  </mc:AlternateContent>
  <xr:revisionPtr revIDLastSave="0" documentId="13_ncr:1_{70E58D20-B985-4369-A2FD-A466CE4C98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表紙" sheetId="6" r:id="rId1"/>
    <sheet name="単体テスト仕様書" sheetId="8" r:id="rId2"/>
    <sheet name="マトリクス" sheetId="10" state="hidden" r:id="rId3"/>
    <sheet name="マトリクス(記入例)" sheetId="11" state="hidden" r:id="rId4"/>
  </sheets>
  <definedNames>
    <definedName name="_xlnm.Print_Titles" localSheetId="2">マトリクス!$1:$8</definedName>
    <definedName name="_xlnm.Print_Titles" localSheetId="3">'マトリクス(記入例)'!$1:$8</definedName>
    <definedName name="_xlnm.Print_Titles" localSheetId="1">単体テスト仕様書!$1:$6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8" l="1"/>
  <c r="A10" i="8"/>
  <c r="A9" i="8"/>
  <c r="A8" i="10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16" i="8" l="1"/>
  <c r="A15" i="8"/>
  <c r="A14" i="8"/>
  <c r="A13" i="8"/>
  <c r="A12" i="8"/>
  <c r="E1" i="10" l="1"/>
  <c r="Q2" i="10"/>
  <c r="X2" i="10"/>
  <c r="AE2" i="10"/>
  <c r="J3" i="10"/>
  <c r="E1" i="11"/>
  <c r="Q2" i="11"/>
  <c r="X2" i="11"/>
  <c r="AE2" i="11"/>
  <c r="J3" i="11"/>
  <c r="E1" i="8"/>
  <c r="Q2" i="8"/>
  <c r="X2" i="8"/>
  <c r="AE2" i="8"/>
  <c r="J3" i="8"/>
</calcChain>
</file>

<file path=xl/sharedStrings.xml><?xml version="1.0" encoding="utf-8"?>
<sst xmlns="http://schemas.openxmlformats.org/spreadsheetml/2006/main" count="254" uniqueCount="105">
  <si>
    <t>版数</t>
    <rPh sb="0" eb="2">
      <t>ハンスウ</t>
    </rPh>
    <phoneticPr fontId="2"/>
  </si>
  <si>
    <t>承認</t>
    <rPh sb="0" eb="2">
      <t>ショウニン</t>
    </rPh>
    <phoneticPr fontId="2"/>
  </si>
  <si>
    <t>査閲</t>
    <rPh sb="0" eb="2">
      <t>サエツ</t>
    </rPh>
    <phoneticPr fontId="2"/>
  </si>
  <si>
    <t>作成</t>
    <rPh sb="0" eb="2">
      <t>サクセイ</t>
    </rPh>
    <phoneticPr fontId="2"/>
  </si>
  <si>
    <t>1.0</t>
    <phoneticPr fontId="2"/>
  </si>
  <si>
    <t>-</t>
    <phoneticPr fontId="2"/>
  </si>
  <si>
    <t>文書番号：</t>
    <rPh sb="0" eb="2">
      <t>ブンショ</t>
    </rPh>
    <rPh sb="2" eb="4">
      <t>バンゴウ</t>
    </rPh>
    <phoneticPr fontId="2"/>
  </si>
  <si>
    <t>XXX-XX-XXX</t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</si>
  <si>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</si>
  <si>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</si>
  <si>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機能名</t>
    <rPh sb="0" eb="2">
      <t>キノウ</t>
    </rPh>
    <rPh sb="2" eb="3">
      <t>メイ</t>
    </rPh>
    <phoneticPr fontId="2"/>
  </si>
  <si>
    <t>ドキュメント発行日</t>
    <rPh sb="6" eb="9">
      <t>ハッコウビ</t>
    </rPh>
    <phoneticPr fontId="2"/>
  </si>
  <si>
    <t>株式会社XXXXXX</t>
    <rPh sb="0" eb="4">
      <t>カブシキガイシャ</t>
    </rPh>
    <phoneticPr fontId="2"/>
  </si>
  <si>
    <t>株式会社KSK</t>
    <rPh sb="0" eb="4">
      <t>カブシキガイシャ</t>
    </rPh>
    <phoneticPr fontId="2"/>
  </si>
  <si>
    <t>承認者</t>
    <rPh sb="0" eb="3">
      <t>ショウニンシャ</t>
    </rPh>
    <phoneticPr fontId="2"/>
  </si>
  <si>
    <t>査閲者</t>
    <rPh sb="0" eb="2">
      <t>サエツ</t>
    </rPh>
    <rPh sb="2" eb="3">
      <t>シャ</t>
    </rPh>
    <phoneticPr fontId="2"/>
  </si>
  <si>
    <t>作成者</t>
    <rPh sb="0" eb="2">
      <t>サクセイ</t>
    </rPh>
    <rPh sb="2" eb="3">
      <t>シャ</t>
    </rPh>
    <phoneticPr fontId="2"/>
  </si>
  <si>
    <t>日付</t>
    <phoneticPr fontId="2"/>
  </si>
  <si>
    <t>印</t>
    <rPh sb="0" eb="1">
      <t>シルシ</t>
    </rPh>
    <phoneticPr fontId="2"/>
  </si>
  <si>
    <t>印</t>
    <phoneticPr fontId="2"/>
  </si>
  <si>
    <t>名前</t>
    <rPh sb="0" eb="2">
      <t>ナマエ</t>
    </rPh>
    <phoneticPr fontId="2"/>
  </si>
  <si>
    <t>F-No：</t>
    <phoneticPr fontId="2"/>
  </si>
  <si>
    <t>PT01</t>
    <phoneticPr fontId="2"/>
  </si>
  <si>
    <t>サブシステム名</t>
    <phoneticPr fontId="2"/>
  </si>
  <si>
    <t>機能名</t>
    <rPh sb="0" eb="3">
      <t>キノウメイ</t>
    </rPh>
    <phoneticPr fontId="2"/>
  </si>
  <si>
    <t>初版</t>
    <rPh sb="0" eb="2">
      <t>ショハン</t>
    </rPh>
    <phoneticPr fontId="2"/>
  </si>
  <si>
    <t>文書番号</t>
    <phoneticPr fontId="2"/>
  </si>
  <si>
    <t>改訂版</t>
    <rPh sb="0" eb="3">
      <t>カイテイバン</t>
    </rPh>
    <phoneticPr fontId="2"/>
  </si>
  <si>
    <t>プログラムID</t>
    <phoneticPr fontId="2"/>
  </si>
  <si>
    <t>テスト仕様書レビュー日</t>
    <rPh sb="3" eb="6">
      <t>シヨウショ</t>
    </rPh>
    <rPh sb="10" eb="11">
      <t>ビ</t>
    </rPh>
    <phoneticPr fontId="2"/>
  </si>
  <si>
    <t>テスト結果レビュー日</t>
    <rPh sb="3" eb="5">
      <t>ケッカ</t>
    </rPh>
    <rPh sb="9" eb="10">
      <t>ビ</t>
    </rPh>
    <phoneticPr fontId="2"/>
  </si>
  <si>
    <t>No</t>
    <phoneticPr fontId="2"/>
  </si>
  <si>
    <t>テスト分類</t>
    <phoneticPr fontId="2"/>
  </si>
  <si>
    <t>正常
異常</t>
    <rPh sb="0" eb="2">
      <t>セイジョウ</t>
    </rPh>
    <rPh sb="3" eb="5">
      <t>イジョウ</t>
    </rPh>
    <phoneticPr fontId="2"/>
  </si>
  <si>
    <t>テスト項目</t>
    <rPh sb="3" eb="5">
      <t>コウモク</t>
    </rPh>
    <phoneticPr fontId="2"/>
  </si>
  <si>
    <t>テスト条件</t>
    <rPh sb="3" eb="5">
      <t>ジョウケン</t>
    </rPh>
    <phoneticPr fontId="2"/>
  </si>
  <si>
    <t>確認方法</t>
    <rPh sb="0" eb="2">
      <t>カクニン</t>
    </rPh>
    <rPh sb="2" eb="4">
      <t>ホウホウ</t>
    </rPh>
    <phoneticPr fontId="2"/>
  </si>
  <si>
    <t>エビデンス</t>
    <phoneticPr fontId="2"/>
  </si>
  <si>
    <t>担当者</t>
    <rPh sb="0" eb="3">
      <t>タントウシャ</t>
    </rPh>
    <phoneticPr fontId="2"/>
  </si>
  <si>
    <t>実施日</t>
    <rPh sb="0" eb="3">
      <t>ジッシビ</t>
    </rPh>
    <phoneticPr fontId="2"/>
  </si>
  <si>
    <t>テスト
結果</t>
    <phoneticPr fontId="2"/>
  </si>
  <si>
    <t>障害管理番号</t>
    <rPh sb="0" eb="2">
      <t>ショウガイ</t>
    </rPh>
    <rPh sb="2" eb="4">
      <t>カンリ</t>
    </rPh>
    <rPh sb="4" eb="6">
      <t>バンゴウ</t>
    </rPh>
    <phoneticPr fontId="2"/>
  </si>
  <si>
    <t>備考</t>
    <rPh sb="0" eb="2">
      <t>ビコウ</t>
    </rPh>
    <phoneticPr fontId="2"/>
  </si>
  <si>
    <t>ﾁｪｯｸ内容</t>
    <phoneticPr fontId="2"/>
  </si>
  <si>
    <t>項目</t>
    <rPh sb="0" eb="2">
      <t>コウモク</t>
    </rPh>
    <phoneticPr fontId="2"/>
  </si>
  <si>
    <t>JutyuDataSyutokuHandler</t>
    <phoneticPr fontId="2"/>
  </si>
  <si>
    <t>正常</t>
  </si>
  <si>
    <t>数値/文字チェック</t>
    <phoneticPr fontId="2"/>
  </si>
  <si>
    <t>スクリプト</t>
    <phoneticPr fontId="2"/>
  </si>
  <si>
    <t>CRUD</t>
    <phoneticPr fontId="2"/>
  </si>
  <si>
    <t>初期表示</t>
    <phoneticPr fontId="2"/>
  </si>
  <si>
    <t>最大値</t>
    <phoneticPr fontId="2"/>
  </si>
  <si>
    <t>最小値</t>
    <phoneticPr fontId="2"/>
  </si>
  <si>
    <t>最大桁</t>
    <phoneticPr fontId="2"/>
  </si>
  <si>
    <t>最小桁</t>
    <phoneticPr fontId="2"/>
  </si>
  <si>
    <t>ヌル値</t>
    <phoneticPr fontId="2"/>
  </si>
  <si>
    <t>ゼロ値</t>
    <phoneticPr fontId="2"/>
  </si>
  <si>
    <t>負数</t>
    <phoneticPr fontId="2"/>
  </si>
  <si>
    <t>空白</t>
    <phoneticPr fontId="2"/>
  </si>
  <si>
    <t>記号</t>
    <phoneticPr fontId="2"/>
  </si>
  <si>
    <t>カンマ編集</t>
    <phoneticPr fontId="2"/>
  </si>
  <si>
    <t>小数桁編集</t>
    <phoneticPr fontId="2"/>
  </si>
  <si>
    <t>消去</t>
    <phoneticPr fontId="2"/>
  </si>
  <si>
    <t>計算</t>
    <phoneticPr fontId="2"/>
  </si>
  <si>
    <t>リスト</t>
    <phoneticPr fontId="2"/>
  </si>
  <si>
    <t>DB参照</t>
    <phoneticPr fontId="2"/>
  </si>
  <si>
    <t>DB更新</t>
    <phoneticPr fontId="2"/>
  </si>
  <si>
    <t>DB削除</t>
    <phoneticPr fontId="2"/>
  </si>
  <si>
    <t>表示</t>
    <phoneticPr fontId="2"/>
  </si>
  <si>
    <t>画面名</t>
    <rPh sb="0" eb="2">
      <t>ガメン</t>
    </rPh>
    <rPh sb="2" eb="3">
      <t>メイ</t>
    </rPh>
    <phoneticPr fontId="2"/>
  </si>
  <si>
    <t>○</t>
    <phoneticPr fontId="2"/>
  </si>
  <si>
    <t>受注伝票番号</t>
    <rPh sb="0" eb="2">
      <t>ジュチュウ</t>
    </rPh>
    <rPh sb="2" eb="4">
      <t>デンピョウ</t>
    </rPh>
    <rPh sb="4" eb="6">
      <t>バンゴウ</t>
    </rPh>
    <phoneticPr fontId="2"/>
  </si>
  <si>
    <t>受注金額</t>
    <rPh sb="0" eb="2">
      <t>ジュチュウ</t>
    </rPh>
    <rPh sb="2" eb="4">
      <t>キンガク</t>
    </rPh>
    <phoneticPr fontId="2"/>
  </si>
  <si>
    <t>受注金額合計</t>
    <rPh sb="0" eb="2">
      <t>ジュチュウ</t>
    </rPh>
    <rPh sb="2" eb="4">
      <t>キンガク</t>
    </rPh>
    <rPh sb="4" eb="6">
      <t>ゴウケイ</t>
    </rPh>
    <phoneticPr fontId="2"/>
  </si>
  <si>
    <t>登録ボタン</t>
    <rPh sb="0" eb="2">
      <t>トウロク</t>
    </rPh>
    <phoneticPr fontId="2"/>
  </si>
  <si>
    <t>QuizSheet</t>
    <phoneticPr fontId="2"/>
  </si>
  <si>
    <t>問題出題画面</t>
    <rPh sb="0" eb="2">
      <t>モンダイ</t>
    </rPh>
    <rPh sb="2" eb="6">
      <t>シュツダイガメン</t>
    </rPh>
    <phoneticPr fontId="2"/>
  </si>
  <si>
    <t>1</t>
    <phoneticPr fontId="2"/>
  </si>
  <si>
    <t>門田</t>
    <rPh sb="0" eb="2">
      <t>カドタ</t>
    </rPh>
    <phoneticPr fontId="2"/>
  </si>
  <si>
    <t>問題表示</t>
    <rPh sb="0" eb="2">
      <t>モンダイ</t>
    </rPh>
    <rPh sb="2" eb="4">
      <t>ヒョウジ</t>
    </rPh>
    <phoneticPr fontId="2"/>
  </si>
  <si>
    <t>問題出題画面が最初に表示された時の状態の確認</t>
    <rPh sb="0" eb="6">
      <t>モンダイシュツダイガメン</t>
    </rPh>
    <rPh sb="7" eb="9">
      <t>サイショ</t>
    </rPh>
    <rPh sb="10" eb="12">
      <t>ヒョウジ</t>
    </rPh>
    <rPh sb="15" eb="16">
      <t>トキ</t>
    </rPh>
    <rPh sb="17" eb="19">
      <t>ジョウタイ</t>
    </rPh>
    <rPh sb="20" eb="22">
      <t>カクニン</t>
    </rPh>
    <phoneticPr fontId="2"/>
  </si>
  <si>
    <t>出題設定を以下のように設定する
・対象問題：Associate Reactive 過去問
・カテゴリ：全て選択
・問題数　：10問
・出題順　：ランダム</t>
    <rPh sb="0" eb="2">
      <t>シュツダイ</t>
    </rPh>
    <rPh sb="2" eb="4">
      <t>セッテイ</t>
    </rPh>
    <rPh sb="5" eb="7">
      <t>イカ</t>
    </rPh>
    <rPh sb="11" eb="13">
      <t>セッテイ</t>
    </rPh>
    <rPh sb="17" eb="21">
      <t>タイショウモンダイ</t>
    </rPh>
    <rPh sb="41" eb="44">
      <t>カコモン</t>
    </rPh>
    <rPh sb="51" eb="52">
      <t>スベ</t>
    </rPh>
    <rPh sb="53" eb="55">
      <t>センタク</t>
    </rPh>
    <rPh sb="57" eb="59">
      <t>モンダイ</t>
    </rPh>
    <rPh sb="59" eb="60">
      <t>スウ</t>
    </rPh>
    <rPh sb="64" eb="65">
      <t>モン</t>
    </rPh>
    <phoneticPr fontId="2"/>
  </si>
  <si>
    <t>・問題番号が1/10となっているか確認
・正答数が0になっているか確認
・正答率が0%になっているか確認
・連続正解が0になっているか確認</t>
    <rPh sb="1" eb="3">
      <t>モンダイ</t>
    </rPh>
    <rPh sb="3" eb="5">
      <t>バンゴウ</t>
    </rPh>
    <rPh sb="17" eb="19">
      <t>カクニン</t>
    </rPh>
    <rPh sb="21" eb="24">
      <t>セイトウスウ</t>
    </rPh>
    <rPh sb="33" eb="35">
      <t>カクニン</t>
    </rPh>
    <rPh sb="37" eb="40">
      <t>セイトウリツ</t>
    </rPh>
    <rPh sb="50" eb="52">
      <t>カクニン</t>
    </rPh>
    <rPh sb="54" eb="58">
      <t>レンゾクセイカイ</t>
    </rPh>
    <rPh sb="67" eb="69">
      <t>カクニン</t>
    </rPh>
    <phoneticPr fontId="2"/>
  </si>
  <si>
    <t>動作確認</t>
    <rPh sb="0" eb="2">
      <t>ドウサ</t>
    </rPh>
    <rPh sb="2" eb="4">
      <t>カクニン</t>
    </rPh>
    <phoneticPr fontId="2"/>
  </si>
  <si>
    <t>動作確認</t>
    <rPh sb="0" eb="4">
      <t>ドウサカクニン</t>
    </rPh>
    <phoneticPr fontId="2"/>
  </si>
  <si>
    <t>出題設定を以下のように設定する
・対象問題：Associate Reactive 過去問
・カテゴリ：全て選択
・問題数　：10問
・出題順　：ランダム</t>
    <phoneticPr fontId="2"/>
  </si>
  <si>
    <t>・次の問題が表示されているか
・問題番号の表示が2/10になっているか
・解説と「次へ」ボタンが再び非表示になるか</t>
    <rPh sb="1" eb="2">
      <t>ツギ</t>
    </rPh>
    <rPh sb="3" eb="5">
      <t>モンダイ</t>
    </rPh>
    <rPh sb="6" eb="8">
      <t>ヒョウジ</t>
    </rPh>
    <rPh sb="16" eb="18">
      <t>モンダイ</t>
    </rPh>
    <rPh sb="18" eb="20">
      <t>バンゴウ</t>
    </rPh>
    <rPh sb="21" eb="23">
      <t>ヒョウジ</t>
    </rPh>
    <rPh sb="37" eb="39">
      <t>カイセツ</t>
    </rPh>
    <rPh sb="41" eb="42">
      <t>ツギ</t>
    </rPh>
    <rPh sb="48" eb="49">
      <t>フタタ</t>
    </rPh>
    <rPh sb="50" eb="53">
      <t>ヒヒョウジ</t>
    </rPh>
    <phoneticPr fontId="2"/>
  </si>
  <si>
    <t>・最後の問題を解いた後に、「次へ」ボタンを押してから最終結果画面へ遷移しているか</t>
    <rPh sb="1" eb="3">
      <t>サイゴ</t>
    </rPh>
    <rPh sb="4" eb="6">
      <t>モンダイ</t>
    </rPh>
    <rPh sb="7" eb="8">
      <t>ト</t>
    </rPh>
    <rPh sb="10" eb="11">
      <t>アト</t>
    </rPh>
    <rPh sb="14" eb="15">
      <t>ツギ</t>
    </rPh>
    <rPh sb="21" eb="22">
      <t>オ</t>
    </rPh>
    <rPh sb="26" eb="32">
      <t>サイシュウケッカガメン</t>
    </rPh>
    <rPh sb="33" eb="35">
      <t>センイ</t>
    </rPh>
    <phoneticPr fontId="2"/>
  </si>
  <si>
    <t>問題画面の左上が問題番号になっているか</t>
    <rPh sb="0" eb="2">
      <t>モンダイ</t>
    </rPh>
    <rPh sb="2" eb="4">
      <t>ガメン</t>
    </rPh>
    <rPh sb="5" eb="7">
      <t>ヒダリウエ</t>
    </rPh>
    <rPh sb="8" eb="10">
      <t>モンダイ</t>
    </rPh>
    <rPh sb="10" eb="12">
      <t>バンゴウ</t>
    </rPh>
    <phoneticPr fontId="2"/>
  </si>
  <si>
    <t>・30秒後も画面が遷移せず、同じ問題画面が表示され続けているか</t>
    <rPh sb="3" eb="5">
      <t>ビョウゴ</t>
    </rPh>
    <rPh sb="6" eb="8">
      <t>ガメン</t>
    </rPh>
    <rPh sb="9" eb="11">
      <t>センイ</t>
    </rPh>
    <rPh sb="14" eb="15">
      <t>オナ</t>
    </rPh>
    <rPh sb="16" eb="20">
      <t>モンダイガメン</t>
    </rPh>
    <rPh sb="21" eb="23">
      <t>ヒョウジ</t>
    </rPh>
    <rPh sb="25" eb="26">
      <t>ツヅ</t>
    </rPh>
    <phoneticPr fontId="2"/>
  </si>
  <si>
    <t>・問題番号の表示が10/10になっているか</t>
    <rPh sb="1" eb="5">
      <t>モンダイバンゴウ</t>
    </rPh>
    <rPh sb="6" eb="8">
      <t>ヒョウジ</t>
    </rPh>
    <phoneticPr fontId="2"/>
  </si>
  <si>
    <t>「問題番号」と正しく表記されているか確認</t>
    <rPh sb="1" eb="3">
      <t>モンダイ</t>
    </rPh>
    <rPh sb="3" eb="5">
      <t>バンゴウ</t>
    </rPh>
    <rPh sb="7" eb="8">
      <t>タダ</t>
    </rPh>
    <rPh sb="10" eb="12">
      <t>ヒョウキ</t>
    </rPh>
    <rPh sb="18" eb="20">
      <t>カクニン</t>
    </rPh>
    <phoneticPr fontId="2"/>
  </si>
  <si>
    <t>「次へ」ボタンが正しく機能しているか確認</t>
    <rPh sb="1" eb="2">
      <t>ツギ</t>
    </rPh>
    <rPh sb="8" eb="9">
      <t>タダ</t>
    </rPh>
    <rPh sb="11" eb="13">
      <t>キノウ</t>
    </rPh>
    <rPh sb="18" eb="20">
      <t>カクニン</t>
    </rPh>
    <phoneticPr fontId="2"/>
  </si>
  <si>
    <t>最後の問題を解いた後、30秒待機後画面が変わらないか確認</t>
    <rPh sb="26" eb="28">
      <t>カクニン</t>
    </rPh>
    <phoneticPr fontId="2"/>
  </si>
  <si>
    <t>最後の問題のとき、問題番号と出題数が同じであるか確認</t>
    <rPh sb="24" eb="26">
      <t>カクニン</t>
    </rPh>
    <phoneticPr fontId="2"/>
  </si>
  <si>
    <t>最後の問題を回答し、「次へ」ボタンを押した後に結果ページへ遷移するか確認</t>
    <rPh sb="0" eb="2">
      <t>サイゴ</t>
    </rPh>
    <rPh sb="3" eb="5">
      <t>モンダイ</t>
    </rPh>
    <rPh sb="6" eb="8">
      <t>カイトウ</t>
    </rPh>
    <rPh sb="11" eb="12">
      <t>ツギ</t>
    </rPh>
    <rPh sb="18" eb="19">
      <t>オ</t>
    </rPh>
    <rPh sb="21" eb="22">
      <t>アト</t>
    </rPh>
    <rPh sb="23" eb="25">
      <t>ケッカ</t>
    </rPh>
    <rPh sb="29" eb="31">
      <t>センイ</t>
    </rPh>
    <rPh sb="34" eb="36">
      <t>カクニン</t>
    </rPh>
    <phoneticPr fontId="2"/>
  </si>
  <si>
    <t>No.1</t>
    <phoneticPr fontId="2"/>
  </si>
  <si>
    <t>No.2</t>
    <phoneticPr fontId="2"/>
  </si>
  <si>
    <t>No.3</t>
  </si>
  <si>
    <t>No.4</t>
  </si>
  <si>
    <t>No.5</t>
  </si>
  <si>
    <t>No.6</t>
  </si>
  <si>
    <t>最終結果画面への遷移・問題番号表示</t>
    <rPh sb="0" eb="4">
      <t>サイシュウケッカ</t>
    </rPh>
    <rPh sb="4" eb="6">
      <t>ガメン</t>
    </rPh>
    <rPh sb="8" eb="10">
      <t>センイ</t>
    </rPh>
    <rPh sb="11" eb="17">
      <t>モンダイバンゴウヒョウジ</t>
    </rPh>
    <phoneticPr fontId="2"/>
  </si>
  <si>
    <t>〇</t>
    <phoneticPr fontId="2"/>
  </si>
  <si>
    <t>QuizSheet改修(要件ex)
単体テスト仕様書</t>
    <rPh sb="9" eb="11">
      <t>カイシュウ</t>
    </rPh>
    <rPh sb="12" eb="14">
      <t>ヨウケン</t>
    </rPh>
    <rPh sb="18" eb="20">
      <t>タンタイ</t>
    </rPh>
    <rPh sb="23" eb="26">
      <t>シヨウショ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</si>
</sst>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"/>
  </numFmts>
  <fonts count="14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55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28"/>
      <name val="ＭＳ Ｐゴシック"/>
      <family val="3"/>
      <charset val="128"/>
    </font>
    <font>
      <sz val="8"/>
      <color indexed="23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55"/>
      </bottom>
      <diagonal/>
    </border>
    <border>
      <left/>
      <right/>
      <top/>
      <bottom style="hair">
        <color indexed="55"/>
      </bottom>
      <diagonal/>
    </border>
    <border>
      <left/>
      <right style="thin">
        <color indexed="64"/>
      </right>
      <top/>
      <bottom style="hair">
        <color indexed="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</borders>
  <cellStyleXfs count="2">
    <xf numFmtId="0" fontId="0" fillId="0" borderId="0">
      <alignment vertical="center"/>
    </xf>
    <xf numFmtId="0" fontId="6" fillId="0" borderId="0"/>
  </cellStyleXfs>
  <cellXfs count="155">
    <xf numFmtId="0" fontId="0" fillId="0" borderId="0" xfId="0">
      <alignment vertical="center"/>
    </xf>
    <xf numFmtId="0" fontId="6" fillId="0" borderId="0" xfId="1"/>
    <xf numFmtId="0" fontId="6" fillId="0" borderId="1" xfId="1" applyBorder="1"/>
    <xf numFmtId="0" fontId="6" fillId="0" borderId="2" xfId="1" applyBorder="1"/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6" fillId="0" borderId="0" xfId="1" applyAlignment="1">
      <alignment horizontal="left" vertical="center"/>
    </xf>
    <xf numFmtId="0" fontId="6" fillId="0" borderId="0" xfId="1" applyAlignment="1">
      <alignment horizontal="center" vertical="center"/>
    </xf>
    <xf numFmtId="0" fontId="6" fillId="0" borderId="2" xfId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1" applyBorder="1"/>
    <xf numFmtId="0" fontId="6" fillId="0" borderId="4" xfId="1" applyBorder="1"/>
    <xf numFmtId="0" fontId="6" fillId="0" borderId="5" xfId="1" applyBorder="1"/>
    <xf numFmtId="0" fontId="6" fillId="0" borderId="0" xfId="1" quotePrefix="1"/>
    <xf numFmtId="0" fontId="8" fillId="0" borderId="2" xfId="1" applyFont="1" applyBorder="1" applyAlignment="1">
      <alignment horizontal="center" vertical="center"/>
    </xf>
    <xf numFmtId="176" fontId="6" fillId="0" borderId="0" xfId="1" applyNumberFormat="1" applyAlignment="1">
      <alignment horizontal="center" vertical="center"/>
    </xf>
    <xf numFmtId="0" fontId="6" fillId="0" borderId="2" xfId="0" applyFont="1" applyBorder="1">
      <alignment vertical="center"/>
    </xf>
    <xf numFmtId="31" fontId="6" fillId="0" borderId="0" xfId="1" applyNumberFormat="1" applyAlignment="1">
      <alignment horizontal="center" vertical="center"/>
    </xf>
    <xf numFmtId="0" fontId="6" fillId="0" borderId="0" xfId="1" applyAlignment="1">
      <alignment horizontal="center"/>
    </xf>
    <xf numFmtId="0" fontId="9" fillId="0" borderId="0" xfId="1" applyFont="1"/>
    <xf numFmtId="0" fontId="6" fillId="0" borderId="6" xfId="1" applyBorder="1"/>
    <xf numFmtId="0" fontId="6" fillId="0" borderId="7" xfId="1" applyBorder="1"/>
    <xf numFmtId="0" fontId="6" fillId="0" borderId="8" xfId="1" applyBorder="1"/>
    <xf numFmtId="14" fontId="6" fillId="0" borderId="0" xfId="1" applyNumberFormat="1" applyAlignment="1">
      <alignment horizontal="center" vertical="center"/>
    </xf>
    <xf numFmtId="49" fontId="6" fillId="0" borderId="0" xfId="1" applyNumberFormat="1"/>
    <xf numFmtId="0" fontId="11" fillId="2" borderId="77" xfId="0" applyFont="1" applyFill="1" applyBorder="1" applyAlignment="1">
      <alignment horizontal="left" vertical="center" shrinkToFit="1"/>
    </xf>
    <xf numFmtId="0" fontId="1" fillId="0" borderId="0" xfId="0" applyFont="1">
      <alignment vertical="center"/>
    </xf>
    <xf numFmtId="0" fontId="6" fillId="0" borderId="71" xfId="0" applyFont="1" applyBorder="1" applyAlignment="1">
      <alignment horizontal="center" vertical="top" textRotation="255" shrinkToFit="1"/>
    </xf>
    <xf numFmtId="0" fontId="6" fillId="0" borderId="72" xfId="0" applyFont="1" applyBorder="1" applyAlignment="1">
      <alignment horizontal="center" vertical="top" textRotation="255" shrinkToFit="1"/>
    </xf>
    <xf numFmtId="0" fontId="6" fillId="0" borderId="74" xfId="0" applyFont="1" applyBorder="1" applyAlignment="1">
      <alignment horizontal="center" vertical="top" textRotation="255" shrinkToFit="1"/>
    </xf>
    <xf numFmtId="0" fontId="6" fillId="0" borderId="73" xfId="0" applyFont="1" applyBorder="1" applyAlignment="1">
      <alignment horizontal="center" vertical="top" textRotation="255" shrinkToFi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center" vertical="center" wrapText="1"/>
    </xf>
    <xf numFmtId="0" fontId="6" fillId="0" borderId="64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center" vertical="center" wrapText="1"/>
    </xf>
    <xf numFmtId="0" fontId="6" fillId="0" borderId="65" xfId="0" applyFont="1" applyBorder="1" applyAlignment="1">
      <alignment horizontal="center" vertical="center" wrapText="1"/>
    </xf>
    <xf numFmtId="0" fontId="11" fillId="2" borderId="76" xfId="0" applyFont="1" applyFill="1" applyBorder="1" applyAlignment="1">
      <alignment horizontal="justify" vertical="center" wrapText="1"/>
    </xf>
    <xf numFmtId="0" fontId="11" fillId="2" borderId="77" xfId="0" applyFont="1" applyFill="1" applyBorder="1" applyAlignment="1">
      <alignment horizontal="justify" vertical="center" wrapText="1"/>
    </xf>
    <xf numFmtId="0" fontId="11" fillId="2" borderId="77" xfId="0" applyFont="1" applyFill="1" applyBorder="1" applyAlignment="1">
      <alignment horizontal="left" vertical="center" wrapText="1"/>
    </xf>
    <xf numFmtId="0" fontId="11" fillId="2" borderId="78" xfId="0" applyFont="1" applyFill="1" applyBorder="1" applyAlignment="1">
      <alignment horizontal="left" vertical="center" wrapText="1"/>
    </xf>
    <xf numFmtId="0" fontId="13" fillId="0" borderId="12" xfId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13" fillId="0" borderId="29" xfId="1" applyFont="1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3" fillId="0" borderId="31" xfId="1" applyFont="1" applyBorder="1" applyAlignment="1">
      <alignment horizontal="center" vertical="center"/>
    </xf>
    <xf numFmtId="0" fontId="1" fillId="0" borderId="38" xfId="0" applyFont="1" applyBorder="1" applyAlignment="1">
      <alignment horizontal="left" vertical="center" shrinkToFit="1"/>
    </xf>
    <xf numFmtId="49" fontId="1" fillId="0" borderId="38" xfId="0" applyNumberFormat="1" applyFont="1" applyBorder="1" applyAlignment="1">
      <alignment horizontal="left" vertical="center" shrinkToFit="1"/>
    </xf>
    <xf numFmtId="0" fontId="1" fillId="0" borderId="38" xfId="0" applyFont="1" applyBorder="1" applyAlignment="1">
      <alignment vertical="center" shrinkToFit="1"/>
    </xf>
    <xf numFmtId="14" fontId="1" fillId="0" borderId="38" xfId="0" quotePrefix="1" applyNumberFormat="1" applyFont="1" applyBorder="1" applyAlignment="1">
      <alignment horizontal="left" vertical="center" shrinkToFit="1"/>
    </xf>
    <xf numFmtId="14" fontId="5" fillId="0" borderId="32" xfId="1" applyNumberFormat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2" borderId="38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12" fillId="0" borderId="21" xfId="1" applyFont="1" applyBorder="1" applyAlignment="1">
      <alignment horizontal="center" vertical="center" wrapText="1"/>
    </xf>
    <xf numFmtId="0" fontId="6" fillId="0" borderId="22" xfId="1" applyBorder="1" applyAlignment="1">
      <alignment horizontal="center" vertical="center"/>
    </xf>
    <xf numFmtId="0" fontId="6" fillId="0" borderId="23" xfId="1" applyBorder="1" applyAlignment="1">
      <alignment horizontal="center" vertical="center"/>
    </xf>
    <xf numFmtId="0" fontId="6" fillId="0" borderId="24" xfId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0" borderId="25" xfId="1" applyBorder="1" applyAlignment="1">
      <alignment horizontal="center" vertical="center"/>
    </xf>
    <xf numFmtId="0" fontId="6" fillId="0" borderId="26" xfId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0" fontId="6" fillId="0" borderId="28" xfId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14" fontId="5" fillId="0" borderId="3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1" fillId="2" borderId="44" xfId="0" applyFont="1" applyFill="1" applyBorder="1" applyAlignment="1">
      <alignment horizontal="center" vertical="center" wrapText="1"/>
    </xf>
    <xf numFmtId="0" fontId="5" fillId="0" borderId="38" xfId="0" applyFont="1" applyBorder="1" applyAlignment="1">
      <alignment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54" xfId="0" applyFont="1" applyBorder="1" applyAlignment="1">
      <alignment horizontal="center" vertical="center" wrapText="1"/>
    </xf>
    <xf numFmtId="0" fontId="5" fillId="0" borderId="5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48" xfId="0" applyFont="1" applyBorder="1" applyAlignment="1">
      <alignment vertical="center" wrapText="1"/>
    </xf>
    <xf numFmtId="14" fontId="5" fillId="0" borderId="38" xfId="0" applyNumberFormat="1" applyFont="1" applyBorder="1" applyAlignment="1">
      <alignment horizontal="center" vertical="center" wrapText="1"/>
    </xf>
    <xf numFmtId="0" fontId="11" fillId="2" borderId="52" xfId="0" applyFont="1" applyFill="1" applyBorder="1" applyAlignment="1">
      <alignment horizontal="center" vertical="center" wrapText="1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 shrinkToFit="1"/>
    </xf>
    <xf numFmtId="0" fontId="1" fillId="3" borderId="37" xfId="0" applyFont="1" applyFill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 wrapText="1" shrinkToFit="1"/>
    </xf>
    <xf numFmtId="0" fontId="1" fillId="0" borderId="38" xfId="0" applyFont="1" applyBorder="1" applyAlignment="1">
      <alignment horizontal="center" vertical="center" wrapText="1" shrinkToFit="1"/>
    </xf>
    <xf numFmtId="0" fontId="1" fillId="0" borderId="48" xfId="0" applyFont="1" applyBorder="1" applyAlignment="1">
      <alignment horizontal="center" vertical="center" wrapText="1" shrinkToFit="1"/>
    </xf>
    <xf numFmtId="0" fontId="1" fillId="3" borderId="47" xfId="0" applyFont="1" applyFill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3" borderId="38" xfId="0" applyFont="1" applyFill="1" applyBorder="1" applyAlignment="1">
      <alignment horizontal="center" vertical="center" wrapText="1" shrinkToFit="1"/>
    </xf>
    <xf numFmtId="0" fontId="4" fillId="3" borderId="39" xfId="0" applyFont="1" applyFill="1" applyBorder="1" applyAlignment="1">
      <alignment horizontal="center" vertical="center" wrapText="1" shrinkToFit="1"/>
    </xf>
    <xf numFmtId="0" fontId="4" fillId="3" borderId="37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 wrapText="1" shrinkToFit="1"/>
    </xf>
    <xf numFmtId="0" fontId="1" fillId="0" borderId="39" xfId="0" applyFont="1" applyBorder="1" applyAlignment="1">
      <alignment horizontal="center" vertical="center" wrapText="1" shrinkToFit="1"/>
    </xf>
    <xf numFmtId="177" fontId="4" fillId="0" borderId="42" xfId="0" applyNumberFormat="1" applyFont="1" applyBorder="1" applyAlignment="1">
      <alignment horizontal="center" vertical="center"/>
    </xf>
    <xf numFmtId="177" fontId="4" fillId="0" borderId="51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 wrapText="1" shrinkToFit="1"/>
    </xf>
    <xf numFmtId="0" fontId="10" fillId="2" borderId="41" xfId="0" applyFont="1" applyFill="1" applyBorder="1" applyAlignment="1">
      <alignment horizontal="center" vertical="center"/>
    </xf>
    <xf numFmtId="0" fontId="10" fillId="2" borderId="42" xfId="0" applyFont="1" applyFill="1" applyBorder="1" applyAlignment="1">
      <alignment horizontal="center" vertical="center"/>
    </xf>
    <xf numFmtId="14" fontId="5" fillId="0" borderId="54" xfId="0" applyNumberFormat="1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4" fillId="0" borderId="42" xfId="0" applyFont="1" applyBorder="1">
      <alignment vertical="center"/>
    </xf>
    <xf numFmtId="0" fontId="4" fillId="0" borderId="51" xfId="0" applyFont="1" applyBorder="1">
      <alignment vertical="center"/>
    </xf>
    <xf numFmtId="0" fontId="11" fillId="2" borderId="43" xfId="0" applyFont="1" applyFill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vertical="center" wrapText="1"/>
    </xf>
    <xf numFmtId="0" fontId="5" fillId="0" borderId="50" xfId="0" applyFont="1" applyBorder="1" applyAlignment="1">
      <alignment vertical="center" wrapText="1"/>
    </xf>
    <xf numFmtId="0" fontId="5" fillId="0" borderId="49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14" fontId="5" fillId="0" borderId="39" xfId="0" applyNumberFormat="1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/>
    </xf>
    <xf numFmtId="177" fontId="4" fillId="0" borderId="58" xfId="0" applyNumberFormat="1" applyFont="1" applyBorder="1" applyAlignment="1">
      <alignment horizontal="center" vertical="center"/>
    </xf>
    <xf numFmtId="0" fontId="11" fillId="2" borderId="66" xfId="0" applyFont="1" applyFill="1" applyBorder="1" applyAlignment="1">
      <alignment horizontal="center" vertical="center" wrapText="1"/>
    </xf>
    <xf numFmtId="0" fontId="11" fillId="2" borderId="67" xfId="0" applyFont="1" applyFill="1" applyBorder="1" applyAlignment="1">
      <alignment horizontal="center" vertical="center" wrapText="1"/>
    </xf>
    <xf numFmtId="0" fontId="6" fillId="0" borderId="69" xfId="0" applyFont="1" applyBorder="1" applyAlignment="1">
      <alignment horizontal="center" vertical="center" wrapText="1"/>
    </xf>
    <xf numFmtId="0" fontId="6" fillId="0" borderId="70" xfId="0" applyFont="1" applyBorder="1" applyAlignment="1">
      <alignment horizontal="center" vertical="center" wrapText="1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4" fillId="0" borderId="57" xfId="0" applyFont="1" applyBorder="1">
      <alignment vertical="center"/>
    </xf>
    <xf numFmtId="0" fontId="4" fillId="0" borderId="58" xfId="0" applyFont="1" applyBorder="1">
      <alignment vertical="center"/>
    </xf>
    <xf numFmtId="0" fontId="6" fillId="0" borderId="45" xfId="0" applyFont="1" applyBorder="1" applyAlignment="1">
      <alignment vertical="center" wrapText="1"/>
    </xf>
    <xf numFmtId="0" fontId="6" fillId="0" borderId="70" xfId="0" applyFont="1" applyBorder="1" applyAlignment="1">
      <alignment vertical="center" wrapText="1"/>
    </xf>
    <xf numFmtId="0" fontId="6" fillId="0" borderId="61" xfId="0" applyFont="1" applyBorder="1" applyAlignment="1">
      <alignment vertical="center" wrapText="1"/>
    </xf>
    <xf numFmtId="0" fontId="11" fillId="0" borderId="67" xfId="0" applyFont="1" applyBorder="1">
      <alignment vertical="center"/>
    </xf>
    <xf numFmtId="0" fontId="11" fillId="0" borderId="68" xfId="0" applyFont="1" applyBorder="1">
      <alignment vertical="center"/>
    </xf>
  </cellXfs>
  <cellStyles count="2">
    <cellStyle name="標準" xfId="0" builtinId="0"/>
    <cellStyle name="標準_差込み分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18</xdr:col>
      <xdr:colOff>0</xdr:colOff>
      <xdr:row>1</xdr:row>
      <xdr:rowOff>295274</xdr:rowOff>
    </xdr:to>
    <xdr:sp macro="" textlink="">
      <xdr:nvSpPr>
        <xdr:cNvPr id="8193" name="Text Box 1">
          <a:extLst>
            <a:ext uri="{FF2B5EF4-FFF2-40B4-BE49-F238E27FC236}">
              <a16:creationId xmlns:a16="http://schemas.microsoft.com/office/drawing/2014/main" id="{00000000-0008-0000-0600-00000120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100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2"/>
  <sheetViews>
    <sheetView showGridLines="0" tabSelected="1" topLeftCell="A4" zoomScaleNormal="100" zoomScaleSheetLayoutView="100" workbookViewId="0">
      <selection activeCell="BG11" sqref="BG11"/>
    </sheetView>
  </sheetViews>
  <sheetFormatPr defaultColWidth="2.54296875" defaultRowHeight="13.5" customHeight="1" x14ac:dyDescent="0.2"/>
  <cols>
    <col min="1" max="16384" width="2.54296875" style="1"/>
  </cols>
  <sheetData>
    <row r="1" spans="1:52" ht="13.5" customHeight="1" x14ac:dyDescent="0.2">
      <c r="A1" s="14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6"/>
    </row>
    <row r="2" spans="1:52" ht="13.5" customHeight="1" x14ac:dyDescent="0.2">
      <c r="A2" s="2"/>
      <c r="C2" s="17"/>
      <c r="AS2" s="1" t="s">
        <v>6</v>
      </c>
      <c r="AV2" s="1" t="s">
        <v>7</v>
      </c>
      <c r="AZ2" s="3"/>
    </row>
    <row r="3" spans="1:52" ht="13.5" customHeight="1" x14ac:dyDescent="0.2">
      <c r="A3" s="2"/>
      <c r="AZ3" s="3"/>
    </row>
    <row r="4" spans="1:52" ht="13.5" customHeight="1" x14ac:dyDescent="0.2">
      <c r="A4" s="2"/>
      <c r="C4" s="17"/>
      <c r="AZ4" s="3"/>
    </row>
    <row r="5" spans="1:52" ht="13.5" customHeight="1" x14ac:dyDescent="0.2">
      <c r="A5" s="2"/>
      <c r="C5" s="17"/>
      <c r="AZ5" s="3"/>
    </row>
    <row r="6" spans="1:52" ht="13.5" customHeight="1" thickBot="1" x14ac:dyDescent="0.25">
      <c r="A6" s="2"/>
      <c r="C6" s="17"/>
      <c r="AZ6" s="3"/>
    </row>
    <row r="7" spans="1:52" ht="13.5" customHeight="1" thickTop="1" x14ac:dyDescent="0.2">
      <c r="A7" s="2"/>
      <c r="O7" s="67" t="s">
        <v>104</v>
      </c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9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8"/>
    </row>
    <row r="8" spans="1:52" ht="13.5" customHeight="1" x14ac:dyDescent="0.2">
      <c r="A8" s="2"/>
      <c r="O8" s="70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8"/>
    </row>
    <row r="9" spans="1:52" ht="13.5" customHeight="1" x14ac:dyDescent="0.2">
      <c r="A9" s="2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70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8"/>
    </row>
    <row r="10" spans="1:52" ht="13.5" customHeight="1" x14ac:dyDescent="0.2">
      <c r="A10" s="2"/>
      <c r="F10" s="9"/>
      <c r="G10" s="9"/>
      <c r="H10" s="9"/>
      <c r="I10" s="9"/>
      <c r="J10" s="9"/>
      <c r="K10" s="9"/>
      <c r="L10" s="9"/>
      <c r="M10" s="9"/>
      <c r="N10" s="9"/>
      <c r="O10" s="70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8"/>
    </row>
    <row r="11" spans="1:52" ht="13.5" customHeight="1" x14ac:dyDescent="0.2">
      <c r="A11" s="2"/>
      <c r="F11" s="10"/>
      <c r="G11" s="10"/>
      <c r="H11" s="10"/>
      <c r="I11" s="10"/>
      <c r="J11" s="10"/>
      <c r="K11" s="10"/>
      <c r="L11" s="10"/>
      <c r="M11" s="10"/>
      <c r="N11" s="10"/>
      <c r="O11" s="70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8"/>
    </row>
    <row r="12" spans="1:52" ht="13.5" customHeight="1" x14ac:dyDescent="0.2">
      <c r="A12" s="2"/>
      <c r="C12" s="17"/>
      <c r="D12" s="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70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8"/>
    </row>
    <row r="13" spans="1:52" ht="13.5" customHeight="1" x14ac:dyDescent="0.2">
      <c r="A13" s="2"/>
      <c r="F13" s="10"/>
      <c r="G13" s="10"/>
      <c r="H13" s="10"/>
      <c r="I13" s="10"/>
      <c r="J13" s="10"/>
      <c r="K13" s="10"/>
      <c r="L13" s="10"/>
      <c r="M13" s="10"/>
      <c r="N13" s="10"/>
      <c r="O13" s="70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8"/>
    </row>
    <row r="14" spans="1:52" ht="13.5" customHeight="1" x14ac:dyDescent="0.2">
      <c r="A14" s="2"/>
      <c r="F14" s="10"/>
      <c r="G14" s="10"/>
      <c r="H14" s="10"/>
      <c r="I14" s="10"/>
      <c r="J14" s="10"/>
      <c r="K14" s="10"/>
      <c r="L14" s="10"/>
      <c r="M14" s="10"/>
      <c r="N14" s="10"/>
      <c r="O14" s="70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8"/>
    </row>
    <row r="15" spans="1:52" ht="13.5" customHeight="1" x14ac:dyDescent="0.2">
      <c r="A15" s="2"/>
      <c r="O15" s="70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8"/>
    </row>
    <row r="16" spans="1:52" ht="13.5" customHeight="1" thickBot="1" x14ac:dyDescent="0.25">
      <c r="A16" s="2"/>
      <c r="G16" s="10"/>
      <c r="H16" s="10"/>
      <c r="I16" s="10"/>
      <c r="J16" s="10"/>
      <c r="K16" s="19"/>
      <c r="L16" s="19"/>
      <c r="M16" s="19"/>
      <c r="N16" s="10"/>
      <c r="O16" s="73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5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8"/>
    </row>
    <row r="17" spans="1:52" ht="13.5" customHeight="1" thickTop="1" x14ac:dyDescent="0.2">
      <c r="A17" s="2"/>
      <c r="G17" s="10"/>
      <c r="H17" s="10"/>
      <c r="I17" s="10"/>
      <c r="J17" s="10"/>
      <c r="K17" s="19"/>
      <c r="L17" s="19"/>
      <c r="M17" s="1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8"/>
    </row>
    <row r="18" spans="1:52" ht="13.5" customHeight="1" x14ac:dyDescent="0.2">
      <c r="A18" s="2"/>
      <c r="G18" s="10"/>
      <c r="H18" s="10"/>
      <c r="I18" s="10"/>
      <c r="J18" s="10"/>
      <c r="K18" s="19"/>
      <c r="L18" s="19"/>
      <c r="M18" s="1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8"/>
    </row>
    <row r="19" spans="1:52" ht="13.5" customHeight="1" x14ac:dyDescent="0.2">
      <c r="A19" s="2"/>
      <c r="G19" s="10"/>
      <c r="H19" s="10"/>
      <c r="I19" s="10"/>
      <c r="J19" s="10"/>
      <c r="K19" s="19"/>
      <c r="L19" s="19"/>
      <c r="M19" s="1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8"/>
    </row>
    <row r="20" spans="1:52" ht="13.5" customHeight="1" x14ac:dyDescent="0.2">
      <c r="A20" s="2"/>
      <c r="G20" s="10"/>
      <c r="H20" s="10"/>
      <c r="I20" s="10"/>
      <c r="J20" s="10"/>
      <c r="K20" s="19"/>
      <c r="L20" s="19"/>
      <c r="M20" s="1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8"/>
    </row>
    <row r="21" spans="1:52" ht="13.5" customHeight="1" x14ac:dyDescent="0.2">
      <c r="A21" s="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8"/>
    </row>
    <row r="22" spans="1:52" ht="13.5" customHeight="1" x14ac:dyDescent="0.2">
      <c r="A22" s="2"/>
      <c r="Q22" s="55" t="s">
        <v>8</v>
      </c>
      <c r="R22" s="55"/>
      <c r="S22" s="55"/>
      <c r="T22" s="55"/>
      <c r="U22" s="55"/>
      <c r="V22" s="55"/>
      <c r="W22" s="55"/>
      <c r="X22" s="53" t="s">
        <v>75</v>
      </c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20"/>
    </row>
    <row r="23" spans="1:52" ht="13.5" customHeight="1" x14ac:dyDescent="0.2">
      <c r="A23" s="2"/>
      <c r="Q23" s="55" t="s">
        <v>9</v>
      </c>
      <c r="R23" s="55"/>
      <c r="S23" s="55"/>
      <c r="T23" s="55"/>
      <c r="U23" s="55"/>
      <c r="V23" s="55"/>
      <c r="W23" s="55"/>
      <c r="X23" s="53" t="s">
        <v>76</v>
      </c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20"/>
    </row>
    <row r="24" spans="1:52" ht="13.5" customHeight="1" x14ac:dyDescent="0.2">
      <c r="A24" s="2"/>
      <c r="Q24" s="55" t="s">
        <v>10</v>
      </c>
      <c r="R24" s="55"/>
      <c r="S24" s="55"/>
      <c r="T24" s="55"/>
      <c r="U24" s="55"/>
      <c r="V24" s="55"/>
      <c r="W24" s="55"/>
      <c r="X24" s="53" t="s">
        <v>102</v>
      </c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Z24" s="3"/>
    </row>
    <row r="25" spans="1:52" ht="13.5" customHeight="1" x14ac:dyDescent="0.2">
      <c r="A25" s="2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/>
      <c r="Q25" s="55" t="s">
        <v>0</v>
      </c>
      <c r="R25" s="55"/>
      <c r="S25" s="55"/>
      <c r="T25" s="55"/>
      <c r="U25" s="55"/>
      <c r="V25" s="55"/>
      <c r="W25" s="55"/>
      <c r="X25" s="54" t="s">
        <v>77</v>
      </c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Z25" s="3"/>
    </row>
    <row r="26" spans="1:52" ht="13.5" customHeight="1" x14ac:dyDescent="0.2">
      <c r="A26" s="2"/>
      <c r="K26" s="10"/>
      <c r="L26" s="10"/>
      <c r="M26" s="10"/>
      <c r="N26" s="10"/>
      <c r="O26" s="10"/>
      <c r="P26" s="10"/>
      <c r="Q26" s="55" t="s">
        <v>11</v>
      </c>
      <c r="R26" s="55"/>
      <c r="S26" s="55"/>
      <c r="T26" s="55"/>
      <c r="U26" s="55"/>
      <c r="V26" s="55"/>
      <c r="W26" s="55"/>
      <c r="X26" s="56">
        <v>45957</v>
      </c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Z26" s="3"/>
    </row>
    <row r="27" spans="1:52" ht="13.5" customHeight="1" x14ac:dyDescent="0.2">
      <c r="A27" s="2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Z27" s="3"/>
    </row>
    <row r="28" spans="1:52" ht="13.5" customHeight="1" x14ac:dyDescent="0.2">
      <c r="A28" s="2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Z28" s="3"/>
    </row>
    <row r="29" spans="1:52" ht="13.5" customHeight="1" x14ac:dyDescent="0.2">
      <c r="A29" s="2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Z29" s="3"/>
    </row>
    <row r="30" spans="1:52" ht="13.5" customHeight="1" x14ac:dyDescent="0.2">
      <c r="A30" s="2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Z30" s="3"/>
    </row>
    <row r="31" spans="1:52" ht="13.5" customHeight="1" x14ac:dyDescent="0.2">
      <c r="A31" s="2"/>
      <c r="K31" s="4"/>
      <c r="L31" s="10"/>
      <c r="M31" s="10"/>
      <c r="N31" s="10"/>
      <c r="O31" s="10"/>
      <c r="P31" s="10"/>
      <c r="Q31" s="27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1"/>
    </row>
    <row r="32" spans="1:52" ht="13.5" customHeight="1" x14ac:dyDescent="0.2">
      <c r="A32" s="2"/>
      <c r="D32" s="60" t="s">
        <v>12</v>
      </c>
      <c r="E32" s="60"/>
      <c r="F32" s="60"/>
      <c r="G32" s="60"/>
      <c r="H32" s="60"/>
      <c r="I32" s="60"/>
      <c r="J32" s="60"/>
      <c r="K32" s="6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64" t="s">
        <v>13</v>
      </c>
      <c r="AQ32" s="65"/>
      <c r="AR32" s="65"/>
      <c r="AS32" s="65"/>
      <c r="AT32" s="65"/>
      <c r="AU32" s="65"/>
      <c r="AV32" s="65"/>
      <c r="AW32" s="66"/>
      <c r="AX32" s="4"/>
      <c r="AY32" s="4"/>
      <c r="AZ32" s="7"/>
    </row>
    <row r="33" spans="1:52" ht="13.5" customHeight="1" x14ac:dyDescent="0.2">
      <c r="A33" s="2"/>
      <c r="D33" s="60" t="s">
        <v>14</v>
      </c>
      <c r="E33" s="60"/>
      <c r="F33" s="60"/>
      <c r="G33" s="60"/>
      <c r="H33" s="60" t="s">
        <v>15</v>
      </c>
      <c r="I33" s="60"/>
      <c r="J33" s="60"/>
      <c r="K33" s="60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64" t="s">
        <v>14</v>
      </c>
      <c r="AQ33" s="65"/>
      <c r="AR33" s="65"/>
      <c r="AS33" s="66"/>
      <c r="AT33" s="64" t="s">
        <v>16</v>
      </c>
      <c r="AU33" s="65"/>
      <c r="AV33" s="65"/>
      <c r="AW33" s="66"/>
      <c r="AX33" s="5"/>
      <c r="AY33" s="5"/>
      <c r="AZ33" s="8"/>
    </row>
    <row r="34" spans="1:52" ht="13.5" customHeight="1" x14ac:dyDescent="0.2">
      <c r="A34" s="2"/>
      <c r="D34" s="61" t="s">
        <v>17</v>
      </c>
      <c r="E34" s="62"/>
      <c r="F34" s="62"/>
      <c r="G34" s="63"/>
      <c r="H34" s="61" t="s">
        <v>17</v>
      </c>
      <c r="I34" s="62"/>
      <c r="J34" s="62"/>
      <c r="K34" s="63"/>
      <c r="L34" s="9"/>
      <c r="M34" s="9"/>
      <c r="N34" s="21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61" t="s">
        <v>17</v>
      </c>
      <c r="AQ34" s="62"/>
      <c r="AR34" s="62"/>
      <c r="AS34" s="63"/>
      <c r="AT34" s="61" t="s">
        <v>17</v>
      </c>
      <c r="AU34" s="62"/>
      <c r="AV34" s="62"/>
      <c r="AW34" s="63"/>
      <c r="AZ34" s="3"/>
    </row>
    <row r="35" spans="1:52" ht="13.5" customHeight="1" x14ac:dyDescent="0.2">
      <c r="A35" s="2"/>
      <c r="D35" s="57"/>
      <c r="E35" s="58"/>
      <c r="F35" s="58"/>
      <c r="G35" s="59"/>
      <c r="H35" s="79"/>
      <c r="I35" s="80"/>
      <c r="J35" s="80"/>
      <c r="K35" s="81"/>
      <c r="N35" s="5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5"/>
      <c r="AO35" s="5"/>
      <c r="AP35" s="57"/>
      <c r="AQ35" s="58"/>
      <c r="AR35" s="58"/>
      <c r="AS35" s="59"/>
      <c r="AT35" s="79"/>
      <c r="AU35" s="80"/>
      <c r="AV35" s="80"/>
      <c r="AW35" s="81"/>
      <c r="AZ35" s="3"/>
    </row>
    <row r="36" spans="1:52" ht="13.5" customHeight="1" x14ac:dyDescent="0.2">
      <c r="A36" s="2"/>
      <c r="D36" s="47" t="s">
        <v>18</v>
      </c>
      <c r="E36" s="48"/>
      <c r="F36" s="48"/>
      <c r="G36" s="49"/>
      <c r="H36" s="47" t="s">
        <v>19</v>
      </c>
      <c r="I36" s="48"/>
      <c r="J36" s="48"/>
      <c r="K36" s="49"/>
      <c r="L36" s="6"/>
      <c r="N36" s="5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5"/>
      <c r="AO36" s="5"/>
      <c r="AP36" s="82" t="s">
        <v>20</v>
      </c>
      <c r="AQ36" s="83"/>
      <c r="AR36" s="83"/>
      <c r="AS36" s="84"/>
      <c r="AT36" s="82" t="s">
        <v>20</v>
      </c>
      <c r="AU36" s="83"/>
      <c r="AV36" s="83"/>
      <c r="AW36" s="84"/>
      <c r="AZ36" s="3"/>
    </row>
    <row r="37" spans="1:52" ht="13.5" customHeight="1" x14ac:dyDescent="0.2">
      <c r="A37" s="2"/>
      <c r="D37" s="50"/>
      <c r="E37" s="51"/>
      <c r="F37" s="51"/>
      <c r="G37" s="52"/>
      <c r="H37" s="50"/>
      <c r="I37" s="51"/>
      <c r="J37" s="51"/>
      <c r="K37" s="52"/>
      <c r="L37" s="22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76"/>
      <c r="AQ37" s="77"/>
      <c r="AR37" s="77"/>
      <c r="AS37" s="78"/>
      <c r="AT37" s="76"/>
      <c r="AU37" s="77"/>
      <c r="AV37" s="77"/>
      <c r="AW37" s="78"/>
      <c r="AZ37" s="3"/>
    </row>
    <row r="38" spans="1:52" ht="13.5" customHeight="1" x14ac:dyDescent="0.2">
      <c r="A38" s="2"/>
      <c r="K38" s="23"/>
      <c r="L38" s="23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Z38" s="3"/>
    </row>
    <row r="39" spans="1:52" ht="13.5" customHeight="1" x14ac:dyDescent="0.2">
      <c r="A39" s="2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Z39" s="3"/>
    </row>
    <row r="40" spans="1:52" ht="13.5" customHeight="1" x14ac:dyDescent="0.2">
      <c r="A40" s="2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1"/>
    </row>
    <row r="41" spans="1:52" ht="13.5" customHeight="1" x14ac:dyDescent="0.2">
      <c r="A41" s="2"/>
      <c r="B41" s="1" t="s">
        <v>21</v>
      </c>
      <c r="D41" s="28" t="s">
        <v>4</v>
      </c>
      <c r="AZ41" s="3"/>
    </row>
    <row r="42" spans="1:52" ht="13.5" customHeight="1" thickBot="1" x14ac:dyDescent="0.25">
      <c r="A42" s="24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6"/>
    </row>
  </sheetData>
  <mergeCells count="31">
    <mergeCell ref="AP37:AS37"/>
    <mergeCell ref="AT37:AW37"/>
    <mergeCell ref="H35:K35"/>
    <mergeCell ref="AP35:AS35"/>
    <mergeCell ref="AT34:AW34"/>
    <mergeCell ref="AT35:AW35"/>
    <mergeCell ref="AP36:AS36"/>
    <mergeCell ref="AT36:AW36"/>
    <mergeCell ref="AP32:AW32"/>
    <mergeCell ref="AP33:AS33"/>
    <mergeCell ref="AT33:AW33"/>
    <mergeCell ref="AP34:AS34"/>
    <mergeCell ref="O7:AL16"/>
    <mergeCell ref="Q22:W22"/>
    <mergeCell ref="Q23:W23"/>
    <mergeCell ref="Q24:W24"/>
    <mergeCell ref="Q25:W25"/>
    <mergeCell ref="D36:G37"/>
    <mergeCell ref="X22:AJ22"/>
    <mergeCell ref="X23:AJ23"/>
    <mergeCell ref="X24:AJ24"/>
    <mergeCell ref="X25:AJ25"/>
    <mergeCell ref="Q26:W26"/>
    <mergeCell ref="X26:AJ26"/>
    <mergeCell ref="D35:G35"/>
    <mergeCell ref="H36:K37"/>
    <mergeCell ref="D32:K32"/>
    <mergeCell ref="D33:G33"/>
    <mergeCell ref="H33:K33"/>
    <mergeCell ref="H34:K34"/>
    <mergeCell ref="D34:G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6"/>
  <sheetViews>
    <sheetView view="pageBreakPreview" topLeftCell="A11" zoomScaleNormal="100" zoomScaleSheetLayoutView="100" workbookViewId="0">
      <selection activeCell="BD13" sqref="BD13"/>
    </sheetView>
  </sheetViews>
  <sheetFormatPr defaultColWidth="2.54296875" defaultRowHeight="13" x14ac:dyDescent="0.2"/>
  <cols>
    <col min="1" max="16384" width="2.54296875" style="30"/>
  </cols>
  <sheetData>
    <row r="1" spans="1:52" ht="13.5" customHeight="1" x14ac:dyDescent="0.2">
      <c r="A1" s="117" t="s">
        <v>22</v>
      </c>
      <c r="B1" s="118"/>
      <c r="C1" s="118"/>
      <c r="D1" s="118"/>
      <c r="E1" s="127" t="str">
        <f>表紙!O7</f>
        <v>QuizSheet改修(要件ex)
単体テスト仕様書</v>
      </c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06" t="s">
        <v>8</v>
      </c>
      <c r="R1" s="106"/>
      <c r="S1" s="106"/>
      <c r="T1" s="106"/>
      <c r="U1" s="106"/>
      <c r="V1" s="106"/>
      <c r="W1" s="106"/>
      <c r="X1" s="106" t="s">
        <v>23</v>
      </c>
      <c r="Y1" s="106"/>
      <c r="Z1" s="106"/>
      <c r="AA1" s="106"/>
      <c r="AB1" s="106"/>
      <c r="AC1" s="106"/>
      <c r="AD1" s="106"/>
      <c r="AE1" s="106" t="s">
        <v>24</v>
      </c>
      <c r="AF1" s="106"/>
      <c r="AG1" s="106"/>
      <c r="AH1" s="106"/>
      <c r="AI1" s="106"/>
      <c r="AJ1" s="106"/>
      <c r="AK1" s="106"/>
      <c r="AL1" s="96" t="s">
        <v>0</v>
      </c>
      <c r="AM1" s="96"/>
      <c r="AN1" s="96"/>
      <c r="AO1" s="96" t="s">
        <v>1</v>
      </c>
      <c r="AP1" s="97"/>
      <c r="AQ1" s="97"/>
      <c r="AR1" s="97"/>
      <c r="AS1" s="96" t="s">
        <v>2</v>
      </c>
      <c r="AT1" s="97"/>
      <c r="AU1" s="97"/>
      <c r="AV1" s="97"/>
      <c r="AW1" s="96" t="s">
        <v>3</v>
      </c>
      <c r="AX1" s="97"/>
      <c r="AY1" s="97"/>
      <c r="AZ1" s="101"/>
    </row>
    <row r="2" spans="1:52" ht="23.25" customHeight="1" x14ac:dyDescent="0.2">
      <c r="A2" s="119"/>
      <c r="B2" s="120"/>
      <c r="C2" s="120"/>
      <c r="D2" s="120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02" t="str">
        <f>表紙!X22</f>
        <v>QuizSheet</v>
      </c>
      <c r="R2" s="102"/>
      <c r="S2" s="102"/>
      <c r="T2" s="102"/>
      <c r="U2" s="102"/>
      <c r="V2" s="102"/>
      <c r="W2" s="102"/>
      <c r="X2" s="102" t="str">
        <f>IF(表紙!X23="","",表紙!X23)</f>
        <v>問題出題画面</v>
      </c>
      <c r="Y2" s="102"/>
      <c r="Z2" s="102"/>
      <c r="AA2" s="102"/>
      <c r="AB2" s="102"/>
      <c r="AC2" s="102"/>
      <c r="AD2" s="102"/>
      <c r="AE2" s="102" t="str">
        <f>IF(表紙!X24="","",表紙!X24)</f>
        <v>最終結果画面への遷移・問題番号表示</v>
      </c>
      <c r="AF2" s="102"/>
      <c r="AG2" s="102"/>
      <c r="AH2" s="102"/>
      <c r="AI2" s="102"/>
      <c r="AJ2" s="102"/>
      <c r="AK2" s="102"/>
      <c r="AL2" s="104" t="s">
        <v>25</v>
      </c>
      <c r="AM2" s="104"/>
      <c r="AN2" s="104"/>
      <c r="AO2" s="98"/>
      <c r="AP2" s="99"/>
      <c r="AQ2" s="99"/>
      <c r="AR2" s="99"/>
      <c r="AS2" s="98"/>
      <c r="AT2" s="99"/>
      <c r="AU2" s="99"/>
      <c r="AV2" s="99"/>
      <c r="AW2" s="98"/>
      <c r="AX2" s="99"/>
      <c r="AY2" s="99"/>
      <c r="AZ2" s="100"/>
    </row>
    <row r="3" spans="1:52" ht="23.25" customHeight="1" thickBot="1" x14ac:dyDescent="0.25">
      <c r="A3" s="121"/>
      <c r="B3" s="122"/>
      <c r="C3" s="122"/>
      <c r="D3" s="122"/>
      <c r="E3" s="129" t="s">
        <v>26</v>
      </c>
      <c r="F3" s="129"/>
      <c r="G3" s="129"/>
      <c r="H3" s="129"/>
      <c r="I3" s="129"/>
      <c r="J3" s="126" t="str">
        <f>表紙!$AV$2</f>
        <v>XXX-XX-XXX</v>
      </c>
      <c r="K3" s="126"/>
      <c r="L3" s="126"/>
      <c r="M3" s="126"/>
      <c r="N3" s="126"/>
      <c r="O3" s="126"/>
      <c r="P3" s="126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5" t="s">
        <v>27</v>
      </c>
      <c r="AM3" s="105"/>
      <c r="AN3" s="105"/>
      <c r="AO3" s="107"/>
      <c r="AP3" s="108"/>
      <c r="AQ3" s="108"/>
      <c r="AR3" s="108"/>
      <c r="AS3" s="107"/>
      <c r="AT3" s="108"/>
      <c r="AU3" s="108"/>
      <c r="AV3" s="108"/>
      <c r="AW3" s="107"/>
      <c r="AX3" s="108"/>
      <c r="AY3" s="108"/>
      <c r="AZ3" s="111"/>
    </row>
    <row r="4" spans="1:52" ht="5.15" customHeight="1" thickBot="1" x14ac:dyDescent="0.25"/>
    <row r="5" spans="1:52" ht="13.5" customHeight="1" thickBot="1" x14ac:dyDescent="0.25">
      <c r="A5" s="112" t="s">
        <v>28</v>
      </c>
      <c r="B5" s="113"/>
      <c r="C5" s="113"/>
      <c r="D5" s="113"/>
      <c r="E5" s="113"/>
      <c r="F5" s="113"/>
      <c r="G5" s="113"/>
      <c r="H5" s="11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4"/>
      <c r="Y5" s="112" t="s">
        <v>29</v>
      </c>
      <c r="Z5" s="113"/>
      <c r="AA5" s="113"/>
      <c r="AB5" s="113"/>
      <c r="AC5" s="113"/>
      <c r="AD5" s="113"/>
      <c r="AE5" s="113"/>
      <c r="AF5" s="113"/>
      <c r="AG5" s="109"/>
      <c r="AH5" s="109"/>
      <c r="AI5" s="109"/>
      <c r="AJ5" s="109"/>
      <c r="AK5" s="109"/>
      <c r="AL5" s="110"/>
      <c r="AM5" s="112" t="s">
        <v>30</v>
      </c>
      <c r="AN5" s="113"/>
      <c r="AO5" s="113"/>
      <c r="AP5" s="113"/>
      <c r="AQ5" s="113"/>
      <c r="AR5" s="113"/>
      <c r="AS5" s="113"/>
      <c r="AT5" s="113"/>
      <c r="AU5" s="109"/>
      <c r="AV5" s="109"/>
      <c r="AW5" s="109"/>
      <c r="AX5" s="109"/>
      <c r="AY5" s="109"/>
      <c r="AZ5" s="110"/>
    </row>
    <row r="6" spans="1:52" ht="27" customHeight="1" thickBot="1" x14ac:dyDescent="0.25">
      <c r="A6" s="125" t="s">
        <v>31</v>
      </c>
      <c r="B6" s="85"/>
      <c r="C6" s="85" t="s">
        <v>32</v>
      </c>
      <c r="D6" s="85"/>
      <c r="E6" s="85"/>
      <c r="F6" s="85"/>
      <c r="G6" s="85" t="s">
        <v>33</v>
      </c>
      <c r="H6" s="85"/>
      <c r="I6" s="85" t="s">
        <v>34</v>
      </c>
      <c r="J6" s="85"/>
      <c r="K6" s="85"/>
      <c r="L6" s="85"/>
      <c r="M6" s="85"/>
      <c r="N6" s="85"/>
      <c r="O6" s="85"/>
      <c r="P6" s="85" t="s">
        <v>35</v>
      </c>
      <c r="Q6" s="85"/>
      <c r="R6" s="85"/>
      <c r="S6" s="85"/>
      <c r="T6" s="85"/>
      <c r="U6" s="85"/>
      <c r="V6" s="85"/>
      <c r="W6" s="85" t="s">
        <v>36</v>
      </c>
      <c r="X6" s="85"/>
      <c r="Y6" s="85"/>
      <c r="Z6" s="85"/>
      <c r="AA6" s="85"/>
      <c r="AB6" s="85"/>
      <c r="AC6" s="85" t="s">
        <v>37</v>
      </c>
      <c r="AD6" s="85"/>
      <c r="AE6" s="85"/>
      <c r="AF6" s="85" t="s">
        <v>38</v>
      </c>
      <c r="AG6" s="85"/>
      <c r="AH6" s="85"/>
      <c r="AI6" s="85" t="s">
        <v>39</v>
      </c>
      <c r="AJ6" s="85"/>
      <c r="AK6" s="85"/>
      <c r="AL6" s="85" t="s">
        <v>40</v>
      </c>
      <c r="AM6" s="85"/>
      <c r="AN6" s="85" t="s">
        <v>41</v>
      </c>
      <c r="AO6" s="85"/>
      <c r="AP6" s="85"/>
      <c r="AQ6" s="85"/>
      <c r="AR6" s="85" t="s">
        <v>42</v>
      </c>
      <c r="AS6" s="85"/>
      <c r="AT6" s="85"/>
      <c r="AU6" s="85"/>
      <c r="AV6" s="85"/>
      <c r="AW6" s="85"/>
      <c r="AX6" s="85"/>
      <c r="AY6" s="85"/>
      <c r="AZ6" s="93"/>
    </row>
    <row r="7" spans="1:52" ht="90" customHeight="1" thickTop="1" x14ac:dyDescent="0.2">
      <c r="A7" s="94">
        <v>1</v>
      </c>
      <c r="B7" s="95"/>
      <c r="C7" s="89" t="s">
        <v>79</v>
      </c>
      <c r="D7" s="89"/>
      <c r="E7" s="89"/>
      <c r="F7" s="89"/>
      <c r="G7" s="88" t="s">
        <v>46</v>
      </c>
      <c r="H7" s="88"/>
      <c r="I7" s="89" t="s">
        <v>80</v>
      </c>
      <c r="J7" s="89"/>
      <c r="K7" s="89"/>
      <c r="L7" s="89"/>
      <c r="M7" s="89"/>
      <c r="N7" s="89"/>
      <c r="O7" s="89"/>
      <c r="P7" s="89" t="s">
        <v>81</v>
      </c>
      <c r="Q7" s="89"/>
      <c r="R7" s="89"/>
      <c r="S7" s="89"/>
      <c r="T7" s="89"/>
      <c r="U7" s="89"/>
      <c r="V7" s="89"/>
      <c r="W7" s="89" t="s">
        <v>82</v>
      </c>
      <c r="X7" s="89"/>
      <c r="Y7" s="89"/>
      <c r="Z7" s="89"/>
      <c r="AA7" s="89"/>
      <c r="AB7" s="89"/>
      <c r="AC7" s="89" t="s">
        <v>96</v>
      </c>
      <c r="AD7" s="89"/>
      <c r="AE7" s="89"/>
      <c r="AF7" s="88" t="s">
        <v>78</v>
      </c>
      <c r="AG7" s="88"/>
      <c r="AH7" s="88"/>
      <c r="AI7" s="114"/>
      <c r="AJ7" s="114"/>
      <c r="AK7" s="114"/>
      <c r="AL7" s="88" t="s">
        <v>103</v>
      </c>
      <c r="AM7" s="88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90"/>
    </row>
    <row r="8" spans="1:52" ht="90" customHeight="1" x14ac:dyDescent="0.2">
      <c r="A8" s="115">
        <v>2</v>
      </c>
      <c r="B8" s="116"/>
      <c r="C8" s="86" t="s">
        <v>79</v>
      </c>
      <c r="D8" s="86"/>
      <c r="E8" s="86"/>
      <c r="F8" s="86"/>
      <c r="G8" s="87" t="s">
        <v>46</v>
      </c>
      <c r="H8" s="87"/>
      <c r="I8" s="86" t="s">
        <v>91</v>
      </c>
      <c r="J8" s="86"/>
      <c r="K8" s="86"/>
      <c r="L8" s="86"/>
      <c r="M8" s="86"/>
      <c r="N8" s="86"/>
      <c r="O8" s="86"/>
      <c r="P8" s="86" t="s">
        <v>85</v>
      </c>
      <c r="Q8" s="86"/>
      <c r="R8" s="86"/>
      <c r="S8" s="86"/>
      <c r="T8" s="86"/>
      <c r="U8" s="86"/>
      <c r="V8" s="86"/>
      <c r="W8" s="86" t="s">
        <v>88</v>
      </c>
      <c r="X8" s="86"/>
      <c r="Y8" s="86"/>
      <c r="Z8" s="86"/>
      <c r="AA8" s="86"/>
      <c r="AB8" s="86"/>
      <c r="AC8" s="86" t="s">
        <v>97</v>
      </c>
      <c r="AD8" s="86"/>
      <c r="AE8" s="86"/>
      <c r="AF8" s="87" t="s">
        <v>78</v>
      </c>
      <c r="AG8" s="87"/>
      <c r="AH8" s="87"/>
      <c r="AI8" s="92"/>
      <c r="AJ8" s="92"/>
      <c r="AK8" s="92"/>
      <c r="AL8" s="87" t="s">
        <v>103</v>
      </c>
      <c r="AM8" s="87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91"/>
    </row>
    <row r="9" spans="1:52" ht="90" customHeight="1" x14ac:dyDescent="0.2">
      <c r="A9" s="115">
        <f t="shared" ref="A9" si="0">IF(G9="","",ROW()-ROW($A$6))</f>
        <v>3</v>
      </c>
      <c r="B9" s="116"/>
      <c r="C9" s="86" t="s">
        <v>83</v>
      </c>
      <c r="D9" s="86"/>
      <c r="E9" s="86"/>
      <c r="F9" s="86"/>
      <c r="G9" s="87" t="s">
        <v>46</v>
      </c>
      <c r="H9" s="87"/>
      <c r="I9" s="86" t="s">
        <v>92</v>
      </c>
      <c r="J9" s="86"/>
      <c r="K9" s="86"/>
      <c r="L9" s="86"/>
      <c r="M9" s="86"/>
      <c r="N9" s="86"/>
      <c r="O9" s="86"/>
      <c r="P9" s="86" t="s">
        <v>85</v>
      </c>
      <c r="Q9" s="86"/>
      <c r="R9" s="86"/>
      <c r="S9" s="86"/>
      <c r="T9" s="86"/>
      <c r="U9" s="86"/>
      <c r="V9" s="86"/>
      <c r="W9" s="86" t="s">
        <v>86</v>
      </c>
      <c r="X9" s="86"/>
      <c r="Y9" s="86"/>
      <c r="Z9" s="86"/>
      <c r="AA9" s="86"/>
      <c r="AB9" s="86"/>
      <c r="AC9" s="86" t="s">
        <v>98</v>
      </c>
      <c r="AD9" s="86"/>
      <c r="AE9" s="86"/>
      <c r="AF9" s="87" t="s">
        <v>78</v>
      </c>
      <c r="AG9" s="87"/>
      <c r="AH9" s="87"/>
      <c r="AI9" s="92"/>
      <c r="AJ9" s="92"/>
      <c r="AK9" s="92"/>
      <c r="AL9" s="87" t="s">
        <v>103</v>
      </c>
      <c r="AM9" s="87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91"/>
    </row>
    <row r="10" spans="1:52" ht="90" customHeight="1" x14ac:dyDescent="0.2">
      <c r="A10" s="115">
        <f t="shared" ref="A10" si="1">IF(G10="","",ROW()-ROW($A$6))</f>
        <v>4</v>
      </c>
      <c r="B10" s="116"/>
      <c r="C10" s="86" t="s">
        <v>84</v>
      </c>
      <c r="D10" s="86"/>
      <c r="E10" s="86"/>
      <c r="F10" s="86"/>
      <c r="G10" s="87" t="s">
        <v>46</v>
      </c>
      <c r="H10" s="87"/>
      <c r="I10" s="86" t="s">
        <v>93</v>
      </c>
      <c r="J10" s="86"/>
      <c r="K10" s="86"/>
      <c r="L10" s="86"/>
      <c r="M10" s="86"/>
      <c r="N10" s="86"/>
      <c r="O10" s="86"/>
      <c r="P10" s="86" t="s">
        <v>85</v>
      </c>
      <c r="Q10" s="86"/>
      <c r="R10" s="86"/>
      <c r="S10" s="86"/>
      <c r="T10" s="86"/>
      <c r="U10" s="86"/>
      <c r="V10" s="86"/>
      <c r="W10" s="86" t="s">
        <v>89</v>
      </c>
      <c r="X10" s="86"/>
      <c r="Y10" s="86"/>
      <c r="Z10" s="86"/>
      <c r="AA10" s="86"/>
      <c r="AB10" s="86"/>
      <c r="AC10" s="86" t="s">
        <v>99</v>
      </c>
      <c r="AD10" s="86"/>
      <c r="AE10" s="86"/>
      <c r="AF10" s="87" t="s">
        <v>78</v>
      </c>
      <c r="AG10" s="87"/>
      <c r="AH10" s="87"/>
      <c r="AI10" s="92"/>
      <c r="AJ10" s="92"/>
      <c r="AK10" s="92"/>
      <c r="AL10" s="87" t="s">
        <v>103</v>
      </c>
      <c r="AM10" s="87"/>
      <c r="AN10" s="86"/>
      <c r="AO10" s="86"/>
      <c r="AP10" s="86"/>
      <c r="AQ10" s="86"/>
      <c r="AR10" s="86"/>
      <c r="AS10" s="86"/>
      <c r="AT10" s="86"/>
      <c r="AU10" s="86"/>
      <c r="AV10" s="86"/>
      <c r="AW10" s="86"/>
      <c r="AX10" s="86"/>
      <c r="AY10" s="86"/>
      <c r="AZ10" s="91"/>
    </row>
    <row r="11" spans="1:52" ht="90" customHeight="1" x14ac:dyDescent="0.2">
      <c r="A11" s="115">
        <f t="shared" ref="A11" si="2">IF(G11="","",ROW()-ROW($A$6))</f>
        <v>5</v>
      </c>
      <c r="B11" s="116"/>
      <c r="C11" s="86" t="s">
        <v>79</v>
      </c>
      <c r="D11" s="86"/>
      <c r="E11" s="86"/>
      <c r="F11" s="86"/>
      <c r="G11" s="87" t="s">
        <v>46</v>
      </c>
      <c r="H11" s="87"/>
      <c r="I11" s="86" t="s">
        <v>94</v>
      </c>
      <c r="J11" s="86"/>
      <c r="K11" s="86"/>
      <c r="L11" s="86"/>
      <c r="M11" s="86"/>
      <c r="N11" s="86"/>
      <c r="O11" s="86"/>
      <c r="P11" s="86" t="s">
        <v>85</v>
      </c>
      <c r="Q11" s="86"/>
      <c r="R11" s="86"/>
      <c r="S11" s="86"/>
      <c r="T11" s="86"/>
      <c r="U11" s="86"/>
      <c r="V11" s="86"/>
      <c r="W11" s="86" t="s">
        <v>90</v>
      </c>
      <c r="X11" s="86"/>
      <c r="Y11" s="86"/>
      <c r="Z11" s="86"/>
      <c r="AA11" s="86"/>
      <c r="AB11" s="86"/>
      <c r="AC11" s="86" t="s">
        <v>100</v>
      </c>
      <c r="AD11" s="86"/>
      <c r="AE11" s="86"/>
      <c r="AF11" s="87" t="s">
        <v>78</v>
      </c>
      <c r="AG11" s="87"/>
      <c r="AH11" s="87"/>
      <c r="AI11" s="92"/>
      <c r="AJ11" s="92"/>
      <c r="AK11" s="92"/>
      <c r="AL11" s="87" t="s">
        <v>103</v>
      </c>
      <c r="AM11" s="87"/>
      <c r="AN11" s="86"/>
      <c r="AO11" s="86"/>
      <c r="AP11" s="86"/>
      <c r="AQ11" s="86"/>
      <c r="AR11" s="86"/>
      <c r="AS11" s="86"/>
      <c r="AT11" s="86"/>
      <c r="AU11" s="86"/>
      <c r="AV11" s="86"/>
      <c r="AW11" s="86"/>
      <c r="AX11" s="86"/>
      <c r="AY11" s="86"/>
      <c r="AZ11" s="91"/>
    </row>
    <row r="12" spans="1:52" ht="90" customHeight="1" x14ac:dyDescent="0.2">
      <c r="A12" s="115">
        <f t="shared" ref="A12:A16" si="3">IF(G12="","",ROW()-ROW($A$6))</f>
        <v>6</v>
      </c>
      <c r="B12" s="116"/>
      <c r="C12" s="86" t="s">
        <v>83</v>
      </c>
      <c r="D12" s="86"/>
      <c r="E12" s="86"/>
      <c r="F12" s="86"/>
      <c r="G12" s="87" t="s">
        <v>46</v>
      </c>
      <c r="H12" s="87"/>
      <c r="I12" s="86" t="s">
        <v>95</v>
      </c>
      <c r="J12" s="86"/>
      <c r="K12" s="86"/>
      <c r="L12" s="86"/>
      <c r="M12" s="86"/>
      <c r="N12" s="86"/>
      <c r="O12" s="86"/>
      <c r="P12" s="86" t="s">
        <v>85</v>
      </c>
      <c r="Q12" s="86"/>
      <c r="R12" s="86"/>
      <c r="S12" s="86"/>
      <c r="T12" s="86"/>
      <c r="U12" s="86"/>
      <c r="V12" s="86"/>
      <c r="W12" s="86" t="s">
        <v>87</v>
      </c>
      <c r="X12" s="86"/>
      <c r="Y12" s="86"/>
      <c r="Z12" s="86"/>
      <c r="AA12" s="86"/>
      <c r="AB12" s="86"/>
      <c r="AC12" s="86" t="s">
        <v>101</v>
      </c>
      <c r="AD12" s="86"/>
      <c r="AE12" s="86"/>
      <c r="AF12" s="87" t="s">
        <v>78</v>
      </c>
      <c r="AG12" s="87"/>
      <c r="AH12" s="87"/>
      <c r="AI12" s="92"/>
      <c r="AJ12" s="92"/>
      <c r="AK12" s="92"/>
      <c r="AL12" s="87" t="s">
        <v>103</v>
      </c>
      <c r="AM12" s="87"/>
      <c r="AN12" s="86"/>
      <c r="AO12" s="86"/>
      <c r="AP12" s="86"/>
      <c r="AQ12" s="86"/>
      <c r="AR12" s="86"/>
      <c r="AS12" s="86"/>
      <c r="AT12" s="86"/>
      <c r="AU12" s="86"/>
      <c r="AV12" s="86"/>
      <c r="AW12" s="86"/>
      <c r="AX12" s="86"/>
      <c r="AY12" s="86"/>
      <c r="AZ12" s="91"/>
    </row>
    <row r="13" spans="1:52" ht="40.5" customHeight="1" x14ac:dyDescent="0.2">
      <c r="A13" s="115" t="str">
        <f t="shared" si="3"/>
        <v/>
      </c>
      <c r="B13" s="116"/>
      <c r="C13" s="86"/>
      <c r="D13" s="86"/>
      <c r="E13" s="86"/>
      <c r="F13" s="86"/>
      <c r="G13" s="87"/>
      <c r="H13" s="87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7"/>
      <c r="AG13" s="87"/>
      <c r="AH13" s="87"/>
      <c r="AI13" s="92"/>
      <c r="AJ13" s="92"/>
      <c r="AK13" s="92"/>
      <c r="AL13" s="87"/>
      <c r="AM13" s="87"/>
      <c r="AN13" s="86"/>
      <c r="AO13" s="86"/>
      <c r="AP13" s="86"/>
      <c r="AQ13" s="86"/>
      <c r="AR13" s="86"/>
      <c r="AS13" s="86"/>
      <c r="AT13" s="86"/>
      <c r="AU13" s="86"/>
      <c r="AV13" s="86"/>
      <c r="AW13" s="86"/>
      <c r="AX13" s="86"/>
      <c r="AY13" s="86"/>
      <c r="AZ13" s="91"/>
    </row>
    <row r="14" spans="1:52" ht="40.5" customHeight="1" x14ac:dyDescent="0.2">
      <c r="A14" s="115" t="str">
        <f t="shared" si="3"/>
        <v/>
      </c>
      <c r="B14" s="116"/>
      <c r="C14" s="86"/>
      <c r="D14" s="86"/>
      <c r="E14" s="86"/>
      <c r="F14" s="86"/>
      <c r="G14" s="87"/>
      <c r="H14" s="87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7"/>
      <c r="AG14" s="87"/>
      <c r="AH14" s="87"/>
      <c r="AI14" s="92"/>
      <c r="AJ14" s="92"/>
      <c r="AK14" s="92"/>
      <c r="AL14" s="87"/>
      <c r="AM14" s="87"/>
      <c r="AN14" s="86"/>
      <c r="AO14" s="86"/>
      <c r="AP14" s="86"/>
      <c r="AQ14" s="86"/>
      <c r="AR14" s="86"/>
      <c r="AS14" s="86"/>
      <c r="AT14" s="86"/>
      <c r="AU14" s="86"/>
      <c r="AV14" s="86"/>
      <c r="AW14" s="86"/>
      <c r="AX14" s="86"/>
      <c r="AY14" s="86"/>
      <c r="AZ14" s="91"/>
    </row>
    <row r="15" spans="1:52" ht="40.5" customHeight="1" x14ac:dyDescent="0.2">
      <c r="A15" s="115" t="str">
        <f t="shared" si="3"/>
        <v/>
      </c>
      <c r="B15" s="116"/>
      <c r="C15" s="86"/>
      <c r="D15" s="86"/>
      <c r="E15" s="86"/>
      <c r="F15" s="86"/>
      <c r="G15" s="87"/>
      <c r="H15" s="87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7"/>
      <c r="AG15" s="87"/>
      <c r="AH15" s="87"/>
      <c r="AI15" s="92"/>
      <c r="AJ15" s="92"/>
      <c r="AK15" s="92"/>
      <c r="AL15" s="87"/>
      <c r="AM15" s="87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91"/>
    </row>
    <row r="16" spans="1:52" ht="40.5" customHeight="1" thickBot="1" x14ac:dyDescent="0.25">
      <c r="A16" s="133" t="str">
        <f t="shared" si="3"/>
        <v/>
      </c>
      <c r="B16" s="134"/>
      <c r="C16" s="131"/>
      <c r="D16" s="131"/>
      <c r="E16" s="131"/>
      <c r="F16" s="131"/>
      <c r="G16" s="130"/>
      <c r="H16" s="130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0"/>
      <c r="AG16" s="130"/>
      <c r="AH16" s="130"/>
      <c r="AI16" s="135"/>
      <c r="AJ16" s="135"/>
      <c r="AK16" s="135"/>
      <c r="AL16" s="130"/>
      <c r="AM16" s="130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2"/>
    </row>
  </sheetData>
  <mergeCells count="160">
    <mergeCell ref="G11:H11"/>
    <mergeCell ref="C11:F11"/>
    <mergeCell ref="A11:B11"/>
    <mergeCell ref="AR11:AZ11"/>
    <mergeCell ref="AN11:AQ11"/>
    <mergeCell ref="AL11:AM11"/>
    <mergeCell ref="AI11:AK11"/>
    <mergeCell ref="AF11:AH11"/>
    <mergeCell ref="AC11:AE11"/>
    <mergeCell ref="W11:AB11"/>
    <mergeCell ref="P11:V11"/>
    <mergeCell ref="I11:O11"/>
    <mergeCell ref="AL15:AM15"/>
    <mergeCell ref="AN15:AQ15"/>
    <mergeCell ref="AR15:AZ15"/>
    <mergeCell ref="AL16:AM16"/>
    <mergeCell ref="AN16:AQ16"/>
    <mergeCell ref="AR16:AZ16"/>
    <mergeCell ref="A16:B16"/>
    <mergeCell ref="C16:F16"/>
    <mergeCell ref="G16:H16"/>
    <mergeCell ref="I16:O16"/>
    <mergeCell ref="P16:V16"/>
    <mergeCell ref="W16:AB16"/>
    <mergeCell ref="AC16:AE16"/>
    <mergeCell ref="AF16:AH16"/>
    <mergeCell ref="AI16:AK16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3:AM13"/>
    <mergeCell ref="AN13:AQ13"/>
    <mergeCell ref="AR13:AZ13"/>
    <mergeCell ref="A14:B14"/>
    <mergeCell ref="C14:F14"/>
    <mergeCell ref="G14:H14"/>
    <mergeCell ref="I14:O14"/>
    <mergeCell ref="P14:V14"/>
    <mergeCell ref="W14:AB14"/>
    <mergeCell ref="AC14:AE14"/>
    <mergeCell ref="AF14:AH14"/>
    <mergeCell ref="AI14:AK14"/>
    <mergeCell ref="AL14:AM14"/>
    <mergeCell ref="AN14:AQ14"/>
    <mergeCell ref="AR14:AZ14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0:AM10"/>
    <mergeCell ref="AN10:AQ10"/>
    <mergeCell ref="AR10:AZ10"/>
    <mergeCell ref="A12:B12"/>
    <mergeCell ref="C12:F12"/>
    <mergeCell ref="G12:H12"/>
    <mergeCell ref="I12:O12"/>
    <mergeCell ref="P12:V12"/>
    <mergeCell ref="W12:AB12"/>
    <mergeCell ref="AC12:AE12"/>
    <mergeCell ref="AF12:AH12"/>
    <mergeCell ref="AI12:AK12"/>
    <mergeCell ref="AL12:AM12"/>
    <mergeCell ref="AN12:AQ12"/>
    <mergeCell ref="AR12:AZ12"/>
    <mergeCell ref="A10:B10"/>
    <mergeCell ref="C10:F10"/>
    <mergeCell ref="G10:H10"/>
    <mergeCell ref="I10:O10"/>
    <mergeCell ref="P10:V10"/>
    <mergeCell ref="W10:AB10"/>
    <mergeCell ref="AC10:AE10"/>
    <mergeCell ref="AF10:AH10"/>
    <mergeCell ref="AI10:AK10"/>
    <mergeCell ref="A8:B8"/>
    <mergeCell ref="C8:F8"/>
    <mergeCell ref="G8:H8"/>
    <mergeCell ref="I8:O8"/>
    <mergeCell ref="P8:V8"/>
    <mergeCell ref="W8:AB8"/>
    <mergeCell ref="AC8:AE8"/>
    <mergeCell ref="AF8:AH8"/>
    <mergeCell ref="AI8:AK8"/>
    <mergeCell ref="A9:B9"/>
    <mergeCell ref="C9:F9"/>
    <mergeCell ref="G9:H9"/>
    <mergeCell ref="I9:O9"/>
    <mergeCell ref="AL8:AM8"/>
    <mergeCell ref="AL9:AM9"/>
    <mergeCell ref="A1:D3"/>
    <mergeCell ref="A5:H5"/>
    <mergeCell ref="I5:X5"/>
    <mergeCell ref="Y5:AF5"/>
    <mergeCell ref="I6:O6"/>
    <mergeCell ref="I7:O7"/>
    <mergeCell ref="P7:V7"/>
    <mergeCell ref="W7:AB7"/>
    <mergeCell ref="AC7:AE7"/>
    <mergeCell ref="AF7:AH7"/>
    <mergeCell ref="A6:B6"/>
    <mergeCell ref="Q1:W1"/>
    <mergeCell ref="X1:AD1"/>
    <mergeCell ref="Q2:W3"/>
    <mergeCell ref="X2:AD3"/>
    <mergeCell ref="J3:P3"/>
    <mergeCell ref="E1:P2"/>
    <mergeCell ref="E3:I3"/>
    <mergeCell ref="A7:B7"/>
    <mergeCell ref="C7:F7"/>
    <mergeCell ref="G7:H7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AO3:AR3"/>
    <mergeCell ref="AU5:AZ5"/>
    <mergeCell ref="AI6:AK6"/>
    <mergeCell ref="AS3:AV3"/>
    <mergeCell ref="AW3:AZ3"/>
    <mergeCell ref="AG5:AL5"/>
    <mergeCell ref="AM5:AT5"/>
    <mergeCell ref="AI7:AK7"/>
    <mergeCell ref="AR7:AZ7"/>
    <mergeCell ref="AF6:AH6"/>
    <mergeCell ref="AN9:AQ9"/>
    <mergeCell ref="AR9:AZ9"/>
    <mergeCell ref="AI9:AK9"/>
    <mergeCell ref="AR6:AZ6"/>
    <mergeCell ref="AN6:AQ6"/>
    <mergeCell ref="AL6:AM6"/>
    <mergeCell ref="C6:F6"/>
    <mergeCell ref="G6:H6"/>
    <mergeCell ref="AN8:AQ8"/>
    <mergeCell ref="AR8:AZ8"/>
    <mergeCell ref="W6:AB6"/>
    <mergeCell ref="P6:V6"/>
    <mergeCell ref="AC9:AE9"/>
    <mergeCell ref="AC6:AE6"/>
    <mergeCell ref="P9:V9"/>
    <mergeCell ref="W9:AB9"/>
    <mergeCell ref="AF9:AH9"/>
    <mergeCell ref="AL7:AM7"/>
    <mergeCell ref="AN7:AQ7"/>
  </mergeCells>
  <phoneticPr fontId="2"/>
  <dataValidations count="1">
    <dataValidation type="list" allowBlank="1" showInputMessage="1" sqref="G7:H16" xr:uid="{00000000-0002-0000-03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5"/>
  <sheetViews>
    <sheetView view="pageBreakPreview" zoomScaleNormal="100" zoomScaleSheetLayoutView="100" workbookViewId="0">
      <selection activeCell="BA1" sqref="BA1"/>
    </sheetView>
  </sheetViews>
  <sheetFormatPr defaultColWidth="2.54296875" defaultRowHeight="13" x14ac:dyDescent="0.2"/>
  <cols>
    <col min="1" max="16384" width="2.54296875" style="30"/>
  </cols>
  <sheetData>
    <row r="1" spans="1:52" ht="13.5" customHeight="1" x14ac:dyDescent="0.2">
      <c r="A1" s="117" t="s">
        <v>22</v>
      </c>
      <c r="B1" s="118"/>
      <c r="C1" s="118"/>
      <c r="D1" s="118"/>
      <c r="E1" s="127" t="str">
        <f>表紙!O7</f>
        <v>QuizSheet改修(要件ex)
単体テスト仕様書</v>
      </c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06" t="s">
        <v>8</v>
      </c>
      <c r="R1" s="106"/>
      <c r="S1" s="106"/>
      <c r="T1" s="106"/>
      <c r="U1" s="106"/>
      <c r="V1" s="106"/>
      <c r="W1" s="106"/>
      <c r="X1" s="106" t="s">
        <v>23</v>
      </c>
      <c r="Y1" s="106"/>
      <c r="Z1" s="106"/>
      <c r="AA1" s="106"/>
      <c r="AB1" s="106"/>
      <c r="AC1" s="106"/>
      <c r="AD1" s="106"/>
      <c r="AE1" s="106" t="s">
        <v>24</v>
      </c>
      <c r="AF1" s="106"/>
      <c r="AG1" s="106"/>
      <c r="AH1" s="106"/>
      <c r="AI1" s="106"/>
      <c r="AJ1" s="106"/>
      <c r="AK1" s="106"/>
      <c r="AL1" s="96" t="s">
        <v>0</v>
      </c>
      <c r="AM1" s="96"/>
      <c r="AN1" s="96"/>
      <c r="AO1" s="96" t="s">
        <v>1</v>
      </c>
      <c r="AP1" s="97"/>
      <c r="AQ1" s="97"/>
      <c r="AR1" s="97"/>
      <c r="AS1" s="96" t="s">
        <v>2</v>
      </c>
      <c r="AT1" s="97"/>
      <c r="AU1" s="97"/>
      <c r="AV1" s="97"/>
      <c r="AW1" s="96" t="s">
        <v>3</v>
      </c>
      <c r="AX1" s="97"/>
      <c r="AY1" s="97"/>
      <c r="AZ1" s="101"/>
    </row>
    <row r="2" spans="1:52" ht="23.25" customHeight="1" x14ac:dyDescent="0.2">
      <c r="A2" s="119"/>
      <c r="B2" s="120"/>
      <c r="C2" s="120"/>
      <c r="D2" s="120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02" t="str">
        <f>表紙!X22</f>
        <v>QuizSheet</v>
      </c>
      <c r="R2" s="102"/>
      <c r="S2" s="102"/>
      <c r="T2" s="102"/>
      <c r="U2" s="102"/>
      <c r="V2" s="102"/>
      <c r="W2" s="102"/>
      <c r="X2" s="102" t="str">
        <f>IF(表紙!X23="","",表紙!X23)</f>
        <v>問題出題画面</v>
      </c>
      <c r="Y2" s="102"/>
      <c r="Z2" s="102"/>
      <c r="AA2" s="102"/>
      <c r="AB2" s="102"/>
      <c r="AC2" s="102"/>
      <c r="AD2" s="102"/>
      <c r="AE2" s="102" t="str">
        <f>IF(表紙!X24="","",表紙!X24)</f>
        <v>最終結果画面への遷移・問題番号表示</v>
      </c>
      <c r="AF2" s="102"/>
      <c r="AG2" s="102"/>
      <c r="AH2" s="102"/>
      <c r="AI2" s="102"/>
      <c r="AJ2" s="102"/>
      <c r="AK2" s="102"/>
      <c r="AL2" s="104" t="s">
        <v>25</v>
      </c>
      <c r="AM2" s="104"/>
      <c r="AN2" s="104"/>
      <c r="AO2" s="98"/>
      <c r="AP2" s="99"/>
      <c r="AQ2" s="99"/>
      <c r="AR2" s="99"/>
      <c r="AS2" s="98"/>
      <c r="AT2" s="99"/>
      <c r="AU2" s="99"/>
      <c r="AV2" s="99"/>
      <c r="AW2" s="98"/>
      <c r="AX2" s="99"/>
      <c r="AY2" s="99"/>
      <c r="AZ2" s="100"/>
    </row>
    <row r="3" spans="1:52" ht="23.25" customHeight="1" thickBot="1" x14ac:dyDescent="0.25">
      <c r="A3" s="121"/>
      <c r="B3" s="122"/>
      <c r="C3" s="122"/>
      <c r="D3" s="122"/>
      <c r="E3" s="129" t="s">
        <v>26</v>
      </c>
      <c r="F3" s="129"/>
      <c r="G3" s="129"/>
      <c r="H3" s="129"/>
      <c r="I3" s="129"/>
      <c r="J3" s="126" t="str">
        <f>表紙!$AV$2</f>
        <v>XXX-XX-XXX</v>
      </c>
      <c r="K3" s="126"/>
      <c r="L3" s="126"/>
      <c r="M3" s="126"/>
      <c r="N3" s="126"/>
      <c r="O3" s="126"/>
      <c r="P3" s="126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5" t="s">
        <v>27</v>
      </c>
      <c r="AM3" s="105"/>
      <c r="AN3" s="105"/>
      <c r="AO3" s="107"/>
      <c r="AP3" s="108"/>
      <c r="AQ3" s="108"/>
      <c r="AR3" s="108"/>
      <c r="AS3" s="107"/>
      <c r="AT3" s="108"/>
      <c r="AU3" s="108"/>
      <c r="AV3" s="108"/>
      <c r="AW3" s="107"/>
      <c r="AX3" s="108"/>
      <c r="AY3" s="108"/>
      <c r="AZ3" s="111"/>
    </row>
    <row r="4" spans="1:52" ht="5.15" customHeight="1" thickBot="1" x14ac:dyDescent="0.25"/>
    <row r="5" spans="1:52" ht="13.5" customHeight="1" thickBot="1" x14ac:dyDescent="0.25">
      <c r="A5" s="146" t="s">
        <v>28</v>
      </c>
      <c r="B5" s="147"/>
      <c r="C5" s="147"/>
      <c r="D5" s="147"/>
      <c r="E5" s="147"/>
      <c r="F5" s="147"/>
      <c r="G5" s="147"/>
      <c r="H5" s="147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9"/>
      <c r="Y5" s="146" t="s">
        <v>29</v>
      </c>
      <c r="Z5" s="147"/>
      <c r="AA5" s="147"/>
      <c r="AB5" s="147"/>
      <c r="AC5" s="147"/>
      <c r="AD5" s="147"/>
      <c r="AE5" s="147"/>
      <c r="AF5" s="147"/>
      <c r="AG5" s="140"/>
      <c r="AH5" s="140"/>
      <c r="AI5" s="140"/>
      <c r="AJ5" s="140"/>
      <c r="AK5" s="140"/>
      <c r="AL5" s="141"/>
      <c r="AM5" s="146" t="s">
        <v>30</v>
      </c>
      <c r="AN5" s="147"/>
      <c r="AO5" s="147"/>
      <c r="AP5" s="147"/>
      <c r="AQ5" s="147"/>
      <c r="AR5" s="147"/>
      <c r="AS5" s="147"/>
      <c r="AT5" s="147"/>
      <c r="AU5" s="140"/>
      <c r="AV5" s="140"/>
      <c r="AW5" s="140"/>
      <c r="AX5" s="140"/>
      <c r="AY5" s="140"/>
      <c r="AZ5" s="141"/>
    </row>
    <row r="6" spans="1:52" ht="27" customHeight="1" thickBot="1" x14ac:dyDescent="0.25">
      <c r="A6" s="142" t="s">
        <v>31</v>
      </c>
      <c r="B6" s="143"/>
      <c r="C6" s="143" t="s">
        <v>43</v>
      </c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43"/>
      <c r="O6" s="44"/>
      <c r="P6" s="44"/>
      <c r="Q6" s="44"/>
      <c r="R6" s="29"/>
      <c r="S6" s="29"/>
      <c r="T6" s="29"/>
      <c r="U6" s="29"/>
      <c r="V6" s="45"/>
      <c r="W6" s="45"/>
      <c r="X6" s="45"/>
      <c r="Y6" s="45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29"/>
      <c r="AO6" s="29"/>
      <c r="AP6" s="29"/>
      <c r="AQ6" s="29"/>
      <c r="AR6" s="45"/>
      <c r="AS6" s="45"/>
      <c r="AT6" s="45"/>
      <c r="AU6" s="45"/>
      <c r="AV6" s="45"/>
      <c r="AW6" s="45"/>
      <c r="AX6" s="45"/>
      <c r="AY6" s="45"/>
      <c r="AZ6" s="46"/>
    </row>
    <row r="7" spans="1:52" ht="81" customHeight="1" thickTop="1" x14ac:dyDescent="0.2">
      <c r="A7" s="144"/>
      <c r="B7" s="145"/>
      <c r="C7" s="151" t="s">
        <v>44</v>
      </c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31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4"/>
    </row>
    <row r="8" spans="1:52" ht="13.5" customHeight="1" x14ac:dyDescent="0.2">
      <c r="A8" s="138" t="str">
        <f>IF(C8="","",ROW()-ROW($A$7))</f>
        <v/>
      </c>
      <c r="B8" s="139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35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8"/>
    </row>
    <row r="9" spans="1:52" ht="13.5" customHeight="1" x14ac:dyDescent="0.2">
      <c r="A9" s="138"/>
      <c r="B9" s="139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35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8"/>
    </row>
    <row r="10" spans="1:52" ht="13.5" customHeight="1" x14ac:dyDescent="0.2">
      <c r="A10" s="138"/>
      <c r="B10" s="139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35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8"/>
    </row>
    <row r="11" spans="1:52" ht="13.5" customHeight="1" x14ac:dyDescent="0.2">
      <c r="A11" s="138"/>
      <c r="B11" s="139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35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8"/>
    </row>
    <row r="12" spans="1:52" ht="13.5" customHeight="1" x14ac:dyDescent="0.2">
      <c r="A12" s="138"/>
      <c r="B12" s="139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35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8"/>
    </row>
    <row r="13" spans="1:52" ht="13.5" customHeight="1" x14ac:dyDescent="0.2">
      <c r="A13" s="138"/>
      <c r="B13" s="139"/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35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8"/>
    </row>
    <row r="14" spans="1:52" ht="13.5" customHeight="1" x14ac:dyDescent="0.2">
      <c r="A14" s="138"/>
      <c r="B14" s="139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35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8"/>
    </row>
    <row r="15" spans="1:52" ht="13.5" customHeight="1" x14ac:dyDescent="0.2">
      <c r="A15" s="138"/>
      <c r="B15" s="139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35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8"/>
    </row>
    <row r="16" spans="1:52" ht="13.5" customHeight="1" x14ac:dyDescent="0.2">
      <c r="A16" s="138"/>
      <c r="B16" s="139"/>
      <c r="C16" s="150"/>
      <c r="D16" s="150"/>
      <c r="E16" s="150"/>
      <c r="F16" s="150"/>
      <c r="G16" s="150"/>
      <c r="H16" s="150"/>
      <c r="I16" s="150"/>
      <c r="J16" s="150"/>
      <c r="K16" s="150"/>
      <c r="L16" s="150"/>
      <c r="M16" s="150"/>
      <c r="N16" s="35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8"/>
    </row>
    <row r="17" spans="1:52" ht="13.5" customHeight="1" x14ac:dyDescent="0.2">
      <c r="A17" s="138"/>
      <c r="B17" s="139"/>
      <c r="C17" s="150"/>
      <c r="D17" s="150"/>
      <c r="E17" s="150"/>
      <c r="F17" s="150"/>
      <c r="G17" s="150"/>
      <c r="H17" s="150"/>
      <c r="I17" s="150"/>
      <c r="J17" s="150"/>
      <c r="K17" s="150"/>
      <c r="L17" s="150"/>
      <c r="M17" s="150"/>
      <c r="N17" s="35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8"/>
    </row>
    <row r="18" spans="1:52" ht="13.5" customHeight="1" x14ac:dyDescent="0.2">
      <c r="A18" s="138"/>
      <c r="B18" s="139"/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  <c r="N18" s="35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8"/>
    </row>
    <row r="19" spans="1:52" ht="13.5" customHeight="1" x14ac:dyDescent="0.2">
      <c r="A19" s="138"/>
      <c r="B19" s="139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35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8"/>
    </row>
    <row r="20" spans="1:52" ht="13.5" customHeight="1" x14ac:dyDescent="0.2">
      <c r="A20" s="138"/>
      <c r="B20" s="139"/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N20" s="35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8"/>
    </row>
    <row r="21" spans="1:52" ht="13.5" customHeight="1" x14ac:dyDescent="0.2">
      <c r="A21" s="138"/>
      <c r="B21" s="139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35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8"/>
    </row>
    <row r="22" spans="1:52" ht="13.5" customHeight="1" x14ac:dyDescent="0.2">
      <c r="A22" s="138"/>
      <c r="B22" s="139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35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8"/>
    </row>
    <row r="23" spans="1:52" ht="13.5" customHeight="1" x14ac:dyDescent="0.2">
      <c r="A23" s="138"/>
      <c r="B23" s="139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35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8"/>
    </row>
    <row r="24" spans="1:52" ht="13.5" customHeight="1" x14ac:dyDescent="0.2">
      <c r="A24" s="138"/>
      <c r="B24" s="139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35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8"/>
    </row>
    <row r="25" spans="1:52" ht="13.5" customHeight="1" x14ac:dyDescent="0.2">
      <c r="A25" s="138"/>
      <c r="B25" s="139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35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8"/>
    </row>
    <row r="26" spans="1:52" ht="13.5" customHeight="1" x14ac:dyDescent="0.2">
      <c r="A26" s="138"/>
      <c r="B26" s="139"/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35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8"/>
    </row>
    <row r="27" spans="1:52" ht="13.5" customHeight="1" x14ac:dyDescent="0.2">
      <c r="A27" s="138"/>
      <c r="B27" s="139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35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8"/>
    </row>
    <row r="28" spans="1:52" ht="13.5" customHeight="1" x14ac:dyDescent="0.2">
      <c r="A28" s="138"/>
      <c r="B28" s="139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35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8"/>
    </row>
    <row r="29" spans="1:52" ht="13.5" customHeight="1" x14ac:dyDescent="0.2">
      <c r="A29" s="138"/>
      <c r="B29" s="139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35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8"/>
    </row>
    <row r="30" spans="1:52" ht="13.5" customHeight="1" x14ac:dyDescent="0.2">
      <c r="A30" s="138"/>
      <c r="B30" s="139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35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8"/>
    </row>
    <row r="31" spans="1:52" ht="13.5" customHeight="1" x14ac:dyDescent="0.2">
      <c r="A31" s="138"/>
      <c r="B31" s="139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35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8"/>
    </row>
    <row r="32" spans="1:52" ht="13.5" customHeight="1" x14ac:dyDescent="0.2">
      <c r="A32" s="138"/>
      <c r="B32" s="139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35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8"/>
    </row>
    <row r="33" spans="1:52" ht="13.5" customHeight="1" x14ac:dyDescent="0.2">
      <c r="A33" s="138"/>
      <c r="B33" s="139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35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8"/>
    </row>
    <row r="34" spans="1:52" ht="13.5" customHeight="1" x14ac:dyDescent="0.2">
      <c r="A34" s="138"/>
      <c r="B34" s="139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35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8"/>
    </row>
    <row r="35" spans="1:52" ht="13.5" customHeight="1" thickBot="1" x14ac:dyDescent="0.25">
      <c r="A35" s="136"/>
      <c r="B35" s="137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39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2"/>
    </row>
  </sheetData>
  <mergeCells count="88">
    <mergeCell ref="C33:M33"/>
    <mergeCell ref="C34:M34"/>
    <mergeCell ref="C35:M35"/>
    <mergeCell ref="C28:M28"/>
    <mergeCell ref="C29:M29"/>
    <mergeCell ref="C30:M30"/>
    <mergeCell ref="C31:M31"/>
    <mergeCell ref="C32:M32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C24:M24"/>
    <mergeCell ref="C25:M25"/>
    <mergeCell ref="C26:M26"/>
    <mergeCell ref="C27:M27"/>
    <mergeCell ref="E3:I3"/>
    <mergeCell ref="J3:P3"/>
    <mergeCell ref="C10:M10"/>
    <mergeCell ref="C18:M18"/>
    <mergeCell ref="C19:M19"/>
    <mergeCell ref="C20:M20"/>
    <mergeCell ref="C21:M21"/>
    <mergeCell ref="C7:M7"/>
    <mergeCell ref="C11:M11"/>
    <mergeCell ref="C14:M14"/>
    <mergeCell ref="C15:M15"/>
    <mergeCell ref="C16:M16"/>
    <mergeCell ref="A1:D3"/>
    <mergeCell ref="Q1:W1"/>
    <mergeCell ref="X1:AD1"/>
    <mergeCell ref="C22:M22"/>
    <mergeCell ref="C23:M23"/>
    <mergeCell ref="Q2:W3"/>
    <mergeCell ref="X2:AD3"/>
    <mergeCell ref="E1:P2"/>
    <mergeCell ref="C17:M17"/>
    <mergeCell ref="C12:M12"/>
    <mergeCell ref="C13:M13"/>
    <mergeCell ref="C8:M8"/>
    <mergeCell ref="C9:M9"/>
    <mergeCell ref="A10:B10"/>
    <mergeCell ref="A11:B11"/>
    <mergeCell ref="A12:B12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C6:M6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0:B30"/>
    <mergeCell ref="A31:B31"/>
    <mergeCell ref="A28:B28"/>
    <mergeCell ref="A29:B29"/>
    <mergeCell ref="A32:B32"/>
    <mergeCell ref="A33:B33"/>
    <mergeCell ref="A34:B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35"/>
  <sheetViews>
    <sheetView view="pageBreakPreview" zoomScaleNormal="100" zoomScaleSheetLayoutView="100" workbookViewId="0">
      <selection activeCell="AH25" sqref="AH25"/>
    </sheetView>
  </sheetViews>
  <sheetFormatPr defaultColWidth="2.54296875" defaultRowHeight="13" x14ac:dyDescent="0.2"/>
  <cols>
    <col min="1" max="16384" width="2.54296875" style="30"/>
  </cols>
  <sheetData>
    <row r="1" spans="1:52" ht="13.5" customHeight="1" x14ac:dyDescent="0.2">
      <c r="A1" s="117" t="s">
        <v>22</v>
      </c>
      <c r="B1" s="118"/>
      <c r="C1" s="118"/>
      <c r="D1" s="118"/>
      <c r="E1" s="127" t="str">
        <f>表紙!O7</f>
        <v>QuizSheet改修(要件ex)
単体テスト仕様書</v>
      </c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06" t="s">
        <v>8</v>
      </c>
      <c r="R1" s="106"/>
      <c r="S1" s="106"/>
      <c r="T1" s="106"/>
      <c r="U1" s="106"/>
      <c r="V1" s="106"/>
      <c r="W1" s="106"/>
      <c r="X1" s="106" t="s">
        <v>23</v>
      </c>
      <c r="Y1" s="106"/>
      <c r="Z1" s="106"/>
      <c r="AA1" s="106"/>
      <c r="AB1" s="106"/>
      <c r="AC1" s="106"/>
      <c r="AD1" s="106"/>
      <c r="AE1" s="106" t="s">
        <v>24</v>
      </c>
      <c r="AF1" s="106"/>
      <c r="AG1" s="106"/>
      <c r="AH1" s="106"/>
      <c r="AI1" s="106"/>
      <c r="AJ1" s="106"/>
      <c r="AK1" s="106"/>
      <c r="AL1" s="96" t="s">
        <v>0</v>
      </c>
      <c r="AM1" s="96"/>
      <c r="AN1" s="96"/>
      <c r="AO1" s="96" t="s">
        <v>1</v>
      </c>
      <c r="AP1" s="97"/>
      <c r="AQ1" s="97"/>
      <c r="AR1" s="97"/>
      <c r="AS1" s="96" t="s">
        <v>2</v>
      </c>
      <c r="AT1" s="97"/>
      <c r="AU1" s="97"/>
      <c r="AV1" s="97"/>
      <c r="AW1" s="96" t="s">
        <v>3</v>
      </c>
      <c r="AX1" s="97"/>
      <c r="AY1" s="97"/>
      <c r="AZ1" s="101"/>
    </row>
    <row r="2" spans="1:52" ht="23.25" customHeight="1" x14ac:dyDescent="0.2">
      <c r="A2" s="119"/>
      <c r="B2" s="120"/>
      <c r="C2" s="120"/>
      <c r="D2" s="120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02" t="str">
        <f>表紙!X22</f>
        <v>QuizSheet</v>
      </c>
      <c r="R2" s="102"/>
      <c r="S2" s="102"/>
      <c r="T2" s="102"/>
      <c r="U2" s="102"/>
      <c r="V2" s="102"/>
      <c r="W2" s="102"/>
      <c r="X2" s="102" t="str">
        <f>IF(表紙!X23="","",表紙!X23)</f>
        <v>問題出題画面</v>
      </c>
      <c r="Y2" s="102"/>
      <c r="Z2" s="102"/>
      <c r="AA2" s="102"/>
      <c r="AB2" s="102"/>
      <c r="AC2" s="102"/>
      <c r="AD2" s="102"/>
      <c r="AE2" s="102" t="str">
        <f>IF(表紙!X24="","",表紙!X24)</f>
        <v>最終結果画面への遷移・問題番号表示</v>
      </c>
      <c r="AF2" s="102"/>
      <c r="AG2" s="102"/>
      <c r="AH2" s="102"/>
      <c r="AI2" s="102"/>
      <c r="AJ2" s="102"/>
      <c r="AK2" s="102"/>
      <c r="AL2" s="104" t="s">
        <v>25</v>
      </c>
      <c r="AM2" s="104"/>
      <c r="AN2" s="104"/>
      <c r="AO2" s="98"/>
      <c r="AP2" s="99"/>
      <c r="AQ2" s="99"/>
      <c r="AR2" s="99"/>
      <c r="AS2" s="98"/>
      <c r="AT2" s="99"/>
      <c r="AU2" s="99"/>
      <c r="AV2" s="99"/>
      <c r="AW2" s="98"/>
      <c r="AX2" s="99"/>
      <c r="AY2" s="99"/>
      <c r="AZ2" s="100"/>
    </row>
    <row r="3" spans="1:52" ht="23.25" customHeight="1" thickBot="1" x14ac:dyDescent="0.25">
      <c r="A3" s="121"/>
      <c r="B3" s="122"/>
      <c r="C3" s="122"/>
      <c r="D3" s="122"/>
      <c r="E3" s="129" t="s">
        <v>26</v>
      </c>
      <c r="F3" s="129"/>
      <c r="G3" s="129"/>
      <c r="H3" s="129"/>
      <c r="I3" s="129"/>
      <c r="J3" s="126" t="str">
        <f>表紙!$AV$2</f>
        <v>XXX-XX-XXX</v>
      </c>
      <c r="K3" s="126"/>
      <c r="L3" s="126"/>
      <c r="M3" s="126"/>
      <c r="N3" s="126"/>
      <c r="O3" s="126"/>
      <c r="P3" s="126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5" t="s">
        <v>27</v>
      </c>
      <c r="AM3" s="105"/>
      <c r="AN3" s="105"/>
      <c r="AO3" s="107"/>
      <c r="AP3" s="108"/>
      <c r="AQ3" s="108"/>
      <c r="AR3" s="108"/>
      <c r="AS3" s="107"/>
      <c r="AT3" s="108"/>
      <c r="AU3" s="108"/>
      <c r="AV3" s="108"/>
      <c r="AW3" s="107"/>
      <c r="AX3" s="108"/>
      <c r="AY3" s="108"/>
      <c r="AZ3" s="111"/>
    </row>
    <row r="4" spans="1:52" ht="5.15" customHeight="1" thickBot="1" x14ac:dyDescent="0.25"/>
    <row r="5" spans="1:52" ht="13.5" customHeight="1" thickBot="1" x14ac:dyDescent="0.25">
      <c r="A5" s="146" t="s">
        <v>28</v>
      </c>
      <c r="B5" s="147"/>
      <c r="C5" s="147"/>
      <c r="D5" s="147"/>
      <c r="E5" s="147"/>
      <c r="F5" s="147"/>
      <c r="G5" s="147"/>
      <c r="H5" s="147"/>
      <c r="I5" s="148" t="s">
        <v>45</v>
      </c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9"/>
      <c r="Y5" s="146" t="s">
        <v>29</v>
      </c>
      <c r="Z5" s="147"/>
      <c r="AA5" s="147"/>
      <c r="AB5" s="147"/>
      <c r="AC5" s="147"/>
      <c r="AD5" s="147"/>
      <c r="AE5" s="147"/>
      <c r="AF5" s="147"/>
      <c r="AG5" s="140">
        <v>40116</v>
      </c>
      <c r="AH5" s="140"/>
      <c r="AI5" s="140"/>
      <c r="AJ5" s="140"/>
      <c r="AK5" s="140"/>
      <c r="AL5" s="141"/>
      <c r="AM5" s="146" t="s">
        <v>30</v>
      </c>
      <c r="AN5" s="147"/>
      <c r="AO5" s="147"/>
      <c r="AP5" s="147"/>
      <c r="AQ5" s="147"/>
      <c r="AR5" s="147"/>
      <c r="AS5" s="147"/>
      <c r="AT5" s="147"/>
      <c r="AU5" s="140">
        <v>40121</v>
      </c>
      <c r="AV5" s="140"/>
      <c r="AW5" s="140"/>
      <c r="AX5" s="140"/>
      <c r="AY5" s="140"/>
      <c r="AZ5" s="141"/>
    </row>
    <row r="6" spans="1:52" ht="27" customHeight="1" thickBot="1" x14ac:dyDescent="0.25">
      <c r="A6" s="142" t="s">
        <v>31</v>
      </c>
      <c r="B6" s="143"/>
      <c r="C6" s="143" t="s">
        <v>43</v>
      </c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 t="s">
        <v>47</v>
      </c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 t="s">
        <v>48</v>
      </c>
      <c r="Z6" s="143"/>
      <c r="AA6" s="143"/>
      <c r="AB6" s="143" t="s">
        <v>49</v>
      </c>
      <c r="AC6" s="143"/>
      <c r="AD6" s="143"/>
      <c r="AE6" s="143" t="s">
        <v>50</v>
      </c>
      <c r="AF6" s="143"/>
      <c r="AG6" s="143"/>
      <c r="AH6" s="143"/>
      <c r="AI6" s="143"/>
      <c r="AJ6" s="153"/>
      <c r="AK6" s="153"/>
      <c r="AL6" s="153"/>
      <c r="AM6" s="153"/>
      <c r="AN6" s="153"/>
      <c r="AO6" s="153"/>
      <c r="AP6" s="153"/>
      <c r="AQ6" s="153"/>
      <c r="AR6" s="153"/>
      <c r="AS6" s="153"/>
      <c r="AT6" s="153"/>
      <c r="AU6" s="153"/>
      <c r="AV6" s="153"/>
      <c r="AW6" s="153"/>
      <c r="AX6" s="153"/>
      <c r="AY6" s="153"/>
      <c r="AZ6" s="154"/>
    </row>
    <row r="7" spans="1:52" ht="81" customHeight="1" thickTop="1" x14ac:dyDescent="0.2">
      <c r="A7" s="144"/>
      <c r="B7" s="145"/>
      <c r="C7" s="151" t="s">
        <v>44</v>
      </c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31" t="s">
        <v>51</v>
      </c>
      <c r="O7" s="32" t="s">
        <v>52</v>
      </c>
      <c r="P7" s="32" t="s">
        <v>53</v>
      </c>
      <c r="Q7" s="32" t="s">
        <v>54</v>
      </c>
      <c r="R7" s="32" t="s">
        <v>55</v>
      </c>
      <c r="S7" s="32" t="s">
        <v>56</v>
      </c>
      <c r="T7" s="32" t="s">
        <v>57</v>
      </c>
      <c r="U7" s="32" t="s">
        <v>58</v>
      </c>
      <c r="V7" s="32" t="s">
        <v>59</v>
      </c>
      <c r="W7" s="32" t="s">
        <v>60</v>
      </c>
      <c r="X7" s="33" t="s">
        <v>61</v>
      </c>
      <c r="Y7" s="31" t="s">
        <v>62</v>
      </c>
      <c r="Z7" s="32" t="s">
        <v>63</v>
      </c>
      <c r="AA7" s="33" t="s">
        <v>64</v>
      </c>
      <c r="AB7" s="31" t="s">
        <v>65</v>
      </c>
      <c r="AC7" s="32" t="s">
        <v>66</v>
      </c>
      <c r="AD7" s="33" t="s">
        <v>67</v>
      </c>
      <c r="AE7" s="31" t="s">
        <v>68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4"/>
    </row>
    <row r="8" spans="1:52" ht="13.5" customHeight="1" x14ac:dyDescent="0.2">
      <c r="A8" s="138">
        <f>IF(C8="","",ROW()-ROW($A$7))</f>
        <v>1</v>
      </c>
      <c r="B8" s="139"/>
      <c r="C8" s="150" t="s">
        <v>69</v>
      </c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35" t="s">
        <v>5</v>
      </c>
      <c r="O8" s="36" t="s">
        <v>5</v>
      </c>
      <c r="P8" s="36" t="s">
        <v>5</v>
      </c>
      <c r="Q8" s="36" t="s">
        <v>5</v>
      </c>
      <c r="R8" s="36" t="s">
        <v>5</v>
      </c>
      <c r="S8" s="36" t="s">
        <v>5</v>
      </c>
      <c r="T8" s="36" t="s">
        <v>5</v>
      </c>
      <c r="U8" s="36" t="s">
        <v>5</v>
      </c>
      <c r="V8" s="36" t="s">
        <v>5</v>
      </c>
      <c r="W8" s="36" t="s">
        <v>5</v>
      </c>
      <c r="X8" s="37" t="s">
        <v>5</v>
      </c>
      <c r="Y8" s="35" t="s">
        <v>5</v>
      </c>
      <c r="Z8" s="36" t="s">
        <v>5</v>
      </c>
      <c r="AA8" s="37" t="s">
        <v>5</v>
      </c>
      <c r="AB8" s="35" t="s">
        <v>5</v>
      </c>
      <c r="AC8" s="36" t="s">
        <v>5</v>
      </c>
      <c r="AD8" s="37" t="s">
        <v>5</v>
      </c>
      <c r="AE8" s="35" t="s">
        <v>70</v>
      </c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8"/>
    </row>
    <row r="9" spans="1:52" ht="13.5" customHeight="1" x14ac:dyDescent="0.2">
      <c r="A9" s="138">
        <f t="shared" ref="A9:A35" si="0">IF(C9="","",ROW()-ROW($A$7))</f>
        <v>2</v>
      </c>
      <c r="B9" s="139"/>
      <c r="C9" s="150" t="s">
        <v>71</v>
      </c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35" t="s">
        <v>70</v>
      </c>
      <c r="O9" s="36" t="s">
        <v>70</v>
      </c>
      <c r="P9" s="36" t="s">
        <v>70</v>
      </c>
      <c r="Q9" s="36" t="s">
        <v>70</v>
      </c>
      <c r="R9" s="36" t="s">
        <v>70</v>
      </c>
      <c r="S9" s="36" t="s">
        <v>70</v>
      </c>
      <c r="T9" s="36" t="s">
        <v>70</v>
      </c>
      <c r="U9" s="36" t="s">
        <v>70</v>
      </c>
      <c r="V9" s="36" t="s">
        <v>5</v>
      </c>
      <c r="W9" s="36" t="s">
        <v>5</v>
      </c>
      <c r="X9" s="37" t="s">
        <v>5</v>
      </c>
      <c r="Y9" s="35" t="s">
        <v>5</v>
      </c>
      <c r="Z9" s="36" t="s">
        <v>5</v>
      </c>
      <c r="AA9" s="37" t="s">
        <v>5</v>
      </c>
      <c r="AB9" s="35" t="s">
        <v>5</v>
      </c>
      <c r="AC9" s="36" t="s">
        <v>5</v>
      </c>
      <c r="AD9" s="37" t="s">
        <v>5</v>
      </c>
      <c r="AE9" s="35" t="s">
        <v>70</v>
      </c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8"/>
    </row>
    <row r="10" spans="1:52" ht="13.5" customHeight="1" x14ac:dyDescent="0.2">
      <c r="A10" s="138">
        <f t="shared" si="0"/>
        <v>3</v>
      </c>
      <c r="B10" s="139"/>
      <c r="C10" s="150" t="s">
        <v>72</v>
      </c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35" t="s">
        <v>70</v>
      </c>
      <c r="O10" s="36" t="s">
        <v>70</v>
      </c>
      <c r="P10" s="36" t="s">
        <v>70</v>
      </c>
      <c r="Q10" s="36" t="s">
        <v>5</v>
      </c>
      <c r="R10" s="36" t="s">
        <v>70</v>
      </c>
      <c r="S10" s="36" t="s">
        <v>70</v>
      </c>
      <c r="T10" s="36" t="s">
        <v>70</v>
      </c>
      <c r="U10" s="36" t="s">
        <v>70</v>
      </c>
      <c r="V10" s="36" t="s">
        <v>70</v>
      </c>
      <c r="W10" s="36" t="s">
        <v>70</v>
      </c>
      <c r="X10" s="37" t="s">
        <v>70</v>
      </c>
      <c r="Y10" s="35" t="s">
        <v>5</v>
      </c>
      <c r="Z10" s="36" t="s">
        <v>5</v>
      </c>
      <c r="AA10" s="37" t="s">
        <v>5</v>
      </c>
      <c r="AB10" s="35" t="s">
        <v>5</v>
      </c>
      <c r="AC10" s="36" t="s">
        <v>5</v>
      </c>
      <c r="AD10" s="37" t="s">
        <v>5</v>
      </c>
      <c r="AE10" s="35" t="s">
        <v>70</v>
      </c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8"/>
    </row>
    <row r="11" spans="1:52" ht="13.5" customHeight="1" x14ac:dyDescent="0.2">
      <c r="A11" s="138">
        <f t="shared" si="0"/>
        <v>4</v>
      </c>
      <c r="B11" s="139"/>
      <c r="C11" s="150" t="s">
        <v>73</v>
      </c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35" t="s">
        <v>70</v>
      </c>
      <c r="O11" s="36" t="s">
        <v>70</v>
      </c>
      <c r="P11" s="36" t="s">
        <v>70</v>
      </c>
      <c r="Q11" s="36" t="s">
        <v>5</v>
      </c>
      <c r="R11" s="36" t="s">
        <v>70</v>
      </c>
      <c r="S11" s="36" t="s">
        <v>70</v>
      </c>
      <c r="T11" s="36" t="s">
        <v>70</v>
      </c>
      <c r="U11" s="36" t="s">
        <v>70</v>
      </c>
      <c r="V11" s="36" t="s">
        <v>70</v>
      </c>
      <c r="W11" s="36" t="s">
        <v>70</v>
      </c>
      <c r="X11" s="37" t="s">
        <v>70</v>
      </c>
      <c r="Y11" s="35" t="s">
        <v>5</v>
      </c>
      <c r="Z11" s="36" t="s">
        <v>70</v>
      </c>
      <c r="AA11" s="37" t="s">
        <v>5</v>
      </c>
      <c r="AB11" s="35" t="s">
        <v>5</v>
      </c>
      <c r="AC11" s="36" t="s">
        <v>5</v>
      </c>
      <c r="AD11" s="37" t="s">
        <v>5</v>
      </c>
      <c r="AE11" s="35" t="s">
        <v>70</v>
      </c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8"/>
    </row>
    <row r="12" spans="1:52" ht="13.5" customHeight="1" x14ac:dyDescent="0.2">
      <c r="A12" s="138">
        <f t="shared" si="0"/>
        <v>5</v>
      </c>
      <c r="B12" s="139"/>
      <c r="C12" s="150" t="s">
        <v>74</v>
      </c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35" t="s">
        <v>5</v>
      </c>
      <c r="O12" s="36" t="s">
        <v>5</v>
      </c>
      <c r="P12" s="36" t="s">
        <v>5</v>
      </c>
      <c r="Q12" s="36" t="s">
        <v>5</v>
      </c>
      <c r="R12" s="36" t="s">
        <v>5</v>
      </c>
      <c r="S12" s="36" t="s">
        <v>5</v>
      </c>
      <c r="T12" s="36" t="s">
        <v>5</v>
      </c>
      <c r="U12" s="36" t="s">
        <v>5</v>
      </c>
      <c r="V12" s="36" t="s">
        <v>5</v>
      </c>
      <c r="W12" s="36" t="s">
        <v>5</v>
      </c>
      <c r="X12" s="37" t="s">
        <v>5</v>
      </c>
      <c r="Y12" s="35" t="s">
        <v>5</v>
      </c>
      <c r="Z12" s="36" t="s">
        <v>5</v>
      </c>
      <c r="AA12" s="37" t="s">
        <v>5</v>
      </c>
      <c r="AB12" s="35" t="s">
        <v>5</v>
      </c>
      <c r="AC12" s="36" t="s">
        <v>70</v>
      </c>
      <c r="AD12" s="37" t="s">
        <v>5</v>
      </c>
      <c r="AE12" s="35" t="s">
        <v>70</v>
      </c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8"/>
    </row>
    <row r="13" spans="1:52" ht="13.5" customHeight="1" x14ac:dyDescent="0.2">
      <c r="A13" s="138" t="str">
        <f t="shared" si="0"/>
        <v/>
      </c>
      <c r="B13" s="139"/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35"/>
      <c r="O13" s="36"/>
      <c r="P13" s="36"/>
      <c r="Q13" s="36"/>
      <c r="R13" s="36"/>
      <c r="S13" s="36"/>
      <c r="T13" s="36"/>
      <c r="U13" s="36"/>
      <c r="V13" s="36"/>
      <c r="W13" s="36"/>
      <c r="X13" s="37"/>
      <c r="Y13" s="35"/>
      <c r="Z13" s="36"/>
      <c r="AA13" s="37"/>
      <c r="AB13" s="35"/>
      <c r="AC13" s="36"/>
      <c r="AD13" s="37"/>
      <c r="AE13" s="35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8"/>
    </row>
    <row r="14" spans="1:52" ht="13.5" customHeight="1" x14ac:dyDescent="0.2">
      <c r="A14" s="138" t="str">
        <f t="shared" si="0"/>
        <v/>
      </c>
      <c r="B14" s="139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35"/>
      <c r="O14" s="36"/>
      <c r="P14" s="36"/>
      <c r="Q14" s="36"/>
      <c r="R14" s="36"/>
      <c r="S14" s="36"/>
      <c r="T14" s="36"/>
      <c r="U14" s="36"/>
      <c r="V14" s="36"/>
      <c r="W14" s="36"/>
      <c r="X14" s="37"/>
      <c r="Y14" s="35"/>
      <c r="Z14" s="36"/>
      <c r="AA14" s="37"/>
      <c r="AB14" s="35"/>
      <c r="AC14" s="36"/>
      <c r="AD14" s="37"/>
      <c r="AE14" s="35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8"/>
    </row>
    <row r="15" spans="1:52" ht="13.5" customHeight="1" x14ac:dyDescent="0.2">
      <c r="A15" s="138" t="str">
        <f t="shared" si="0"/>
        <v/>
      </c>
      <c r="B15" s="139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35"/>
      <c r="O15" s="36"/>
      <c r="P15" s="36"/>
      <c r="Q15" s="36"/>
      <c r="R15" s="36"/>
      <c r="S15" s="36"/>
      <c r="T15" s="36"/>
      <c r="U15" s="36"/>
      <c r="V15" s="36"/>
      <c r="W15" s="36"/>
      <c r="X15" s="37"/>
      <c r="Y15" s="35"/>
      <c r="Z15" s="36"/>
      <c r="AA15" s="37"/>
      <c r="AB15" s="35"/>
      <c r="AC15" s="36"/>
      <c r="AD15" s="37"/>
      <c r="AE15" s="35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8"/>
    </row>
    <row r="16" spans="1:52" ht="13.5" customHeight="1" x14ac:dyDescent="0.2">
      <c r="A16" s="138" t="str">
        <f t="shared" si="0"/>
        <v/>
      </c>
      <c r="B16" s="139"/>
      <c r="C16" s="150"/>
      <c r="D16" s="150"/>
      <c r="E16" s="150"/>
      <c r="F16" s="150"/>
      <c r="G16" s="150"/>
      <c r="H16" s="150"/>
      <c r="I16" s="150"/>
      <c r="J16" s="150"/>
      <c r="K16" s="150"/>
      <c r="L16" s="150"/>
      <c r="M16" s="150"/>
      <c r="N16" s="35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35"/>
      <c r="Z16" s="36"/>
      <c r="AA16" s="37"/>
      <c r="AB16" s="35"/>
      <c r="AC16" s="36"/>
      <c r="AD16" s="37"/>
      <c r="AE16" s="35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8"/>
    </row>
    <row r="17" spans="1:52" ht="13.5" customHeight="1" x14ac:dyDescent="0.2">
      <c r="A17" s="138" t="str">
        <f t="shared" si="0"/>
        <v/>
      </c>
      <c r="B17" s="139"/>
      <c r="C17" s="150"/>
      <c r="D17" s="150"/>
      <c r="E17" s="150"/>
      <c r="F17" s="150"/>
      <c r="G17" s="150"/>
      <c r="H17" s="150"/>
      <c r="I17" s="150"/>
      <c r="J17" s="150"/>
      <c r="K17" s="150"/>
      <c r="L17" s="150"/>
      <c r="M17" s="150"/>
      <c r="N17" s="35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35"/>
      <c r="Z17" s="36"/>
      <c r="AA17" s="37"/>
      <c r="AB17" s="35"/>
      <c r="AC17" s="36"/>
      <c r="AD17" s="37"/>
      <c r="AE17" s="35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8"/>
    </row>
    <row r="18" spans="1:52" ht="13.5" customHeight="1" x14ac:dyDescent="0.2">
      <c r="A18" s="138" t="str">
        <f t="shared" si="0"/>
        <v/>
      </c>
      <c r="B18" s="139"/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  <c r="N18" s="35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35"/>
      <c r="Z18" s="36"/>
      <c r="AA18" s="37"/>
      <c r="AB18" s="35"/>
      <c r="AC18" s="36"/>
      <c r="AD18" s="37"/>
      <c r="AE18" s="35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8"/>
    </row>
    <row r="19" spans="1:52" ht="13.5" customHeight="1" x14ac:dyDescent="0.2">
      <c r="A19" s="138" t="str">
        <f t="shared" si="0"/>
        <v/>
      </c>
      <c r="B19" s="139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35"/>
      <c r="O19" s="36"/>
      <c r="P19" s="36"/>
      <c r="Q19" s="36"/>
      <c r="R19" s="36"/>
      <c r="S19" s="36"/>
      <c r="T19" s="36"/>
      <c r="U19" s="36"/>
      <c r="V19" s="36"/>
      <c r="W19" s="36"/>
      <c r="X19" s="37"/>
      <c r="Y19" s="35"/>
      <c r="Z19" s="36"/>
      <c r="AA19" s="37"/>
      <c r="AB19" s="35"/>
      <c r="AC19" s="36"/>
      <c r="AD19" s="37"/>
      <c r="AE19" s="35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8"/>
    </row>
    <row r="20" spans="1:52" ht="13.5" customHeight="1" x14ac:dyDescent="0.2">
      <c r="A20" s="138" t="str">
        <f t="shared" si="0"/>
        <v/>
      </c>
      <c r="B20" s="139"/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N20" s="35"/>
      <c r="O20" s="36"/>
      <c r="P20" s="36"/>
      <c r="Q20" s="36"/>
      <c r="R20" s="36"/>
      <c r="S20" s="36"/>
      <c r="T20" s="36"/>
      <c r="U20" s="36"/>
      <c r="V20" s="36"/>
      <c r="W20" s="36"/>
      <c r="X20" s="37"/>
      <c r="Y20" s="35"/>
      <c r="Z20" s="36"/>
      <c r="AA20" s="37"/>
      <c r="AB20" s="35"/>
      <c r="AC20" s="36"/>
      <c r="AD20" s="37"/>
      <c r="AE20" s="35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8"/>
    </row>
    <row r="21" spans="1:52" ht="13.5" customHeight="1" x14ac:dyDescent="0.2">
      <c r="A21" s="138" t="str">
        <f t="shared" si="0"/>
        <v/>
      </c>
      <c r="B21" s="139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35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35"/>
      <c r="Z21" s="36"/>
      <c r="AA21" s="37"/>
      <c r="AB21" s="35"/>
      <c r="AC21" s="36"/>
      <c r="AD21" s="37"/>
      <c r="AE21" s="35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8"/>
    </row>
    <row r="22" spans="1:52" ht="13.5" customHeight="1" x14ac:dyDescent="0.2">
      <c r="A22" s="138" t="str">
        <f t="shared" si="0"/>
        <v/>
      </c>
      <c r="B22" s="139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35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35"/>
      <c r="Z22" s="36"/>
      <c r="AA22" s="37"/>
      <c r="AB22" s="35"/>
      <c r="AC22" s="36"/>
      <c r="AD22" s="37"/>
      <c r="AE22" s="35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8"/>
    </row>
    <row r="23" spans="1:52" ht="13.5" customHeight="1" x14ac:dyDescent="0.2">
      <c r="A23" s="138" t="str">
        <f t="shared" si="0"/>
        <v/>
      </c>
      <c r="B23" s="139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35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35"/>
      <c r="Z23" s="36"/>
      <c r="AA23" s="37"/>
      <c r="AB23" s="35"/>
      <c r="AC23" s="36"/>
      <c r="AD23" s="37"/>
      <c r="AE23" s="35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8"/>
    </row>
    <row r="24" spans="1:52" ht="13.5" customHeight="1" x14ac:dyDescent="0.2">
      <c r="A24" s="138" t="str">
        <f t="shared" si="0"/>
        <v/>
      </c>
      <c r="B24" s="139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35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35"/>
      <c r="Z24" s="36"/>
      <c r="AA24" s="37"/>
      <c r="AB24" s="35"/>
      <c r="AC24" s="36"/>
      <c r="AD24" s="37"/>
      <c r="AE24" s="35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8"/>
    </row>
    <row r="25" spans="1:52" ht="13.5" customHeight="1" x14ac:dyDescent="0.2">
      <c r="A25" s="138" t="str">
        <f t="shared" si="0"/>
        <v/>
      </c>
      <c r="B25" s="139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35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35"/>
      <c r="Z25" s="36"/>
      <c r="AA25" s="37"/>
      <c r="AB25" s="35"/>
      <c r="AC25" s="36"/>
      <c r="AD25" s="37"/>
      <c r="AE25" s="35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8"/>
    </row>
    <row r="26" spans="1:52" ht="13.5" customHeight="1" x14ac:dyDescent="0.2">
      <c r="A26" s="138" t="str">
        <f t="shared" si="0"/>
        <v/>
      </c>
      <c r="B26" s="139"/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35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35"/>
      <c r="Z26" s="36"/>
      <c r="AA26" s="37"/>
      <c r="AB26" s="35"/>
      <c r="AC26" s="36"/>
      <c r="AD26" s="37"/>
      <c r="AE26" s="35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8"/>
    </row>
    <row r="27" spans="1:52" ht="13.5" customHeight="1" x14ac:dyDescent="0.2">
      <c r="A27" s="138" t="str">
        <f t="shared" si="0"/>
        <v/>
      </c>
      <c r="B27" s="139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35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35"/>
      <c r="Z27" s="36"/>
      <c r="AA27" s="37"/>
      <c r="AB27" s="35"/>
      <c r="AC27" s="36"/>
      <c r="AD27" s="37"/>
      <c r="AE27" s="35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8"/>
    </row>
    <row r="28" spans="1:52" ht="13.5" customHeight="1" x14ac:dyDescent="0.2">
      <c r="A28" s="138" t="str">
        <f t="shared" si="0"/>
        <v/>
      </c>
      <c r="B28" s="139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35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35"/>
      <c r="Z28" s="36"/>
      <c r="AA28" s="37"/>
      <c r="AB28" s="35"/>
      <c r="AC28" s="36"/>
      <c r="AD28" s="37"/>
      <c r="AE28" s="35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8"/>
    </row>
    <row r="29" spans="1:52" ht="13.5" customHeight="1" x14ac:dyDescent="0.2">
      <c r="A29" s="138" t="str">
        <f t="shared" si="0"/>
        <v/>
      </c>
      <c r="B29" s="139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35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35"/>
      <c r="Z29" s="36"/>
      <c r="AA29" s="37"/>
      <c r="AB29" s="35"/>
      <c r="AC29" s="36"/>
      <c r="AD29" s="37"/>
      <c r="AE29" s="35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8"/>
    </row>
    <row r="30" spans="1:52" ht="13.5" customHeight="1" x14ac:dyDescent="0.2">
      <c r="A30" s="138" t="str">
        <f t="shared" si="0"/>
        <v/>
      </c>
      <c r="B30" s="139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35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35"/>
      <c r="Z30" s="36"/>
      <c r="AA30" s="37"/>
      <c r="AB30" s="35"/>
      <c r="AC30" s="36"/>
      <c r="AD30" s="37"/>
      <c r="AE30" s="35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8"/>
    </row>
    <row r="31" spans="1:52" ht="13.5" customHeight="1" x14ac:dyDescent="0.2">
      <c r="A31" s="138" t="str">
        <f t="shared" si="0"/>
        <v/>
      </c>
      <c r="B31" s="139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35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35"/>
      <c r="Z31" s="36"/>
      <c r="AA31" s="37"/>
      <c r="AB31" s="35"/>
      <c r="AC31" s="36"/>
      <c r="AD31" s="37"/>
      <c r="AE31" s="35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8"/>
    </row>
    <row r="32" spans="1:52" ht="13.5" customHeight="1" x14ac:dyDescent="0.2">
      <c r="A32" s="138" t="str">
        <f t="shared" si="0"/>
        <v/>
      </c>
      <c r="B32" s="139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35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35"/>
      <c r="Z32" s="36"/>
      <c r="AA32" s="37"/>
      <c r="AB32" s="35"/>
      <c r="AC32" s="36"/>
      <c r="AD32" s="37"/>
      <c r="AE32" s="35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8"/>
    </row>
    <row r="33" spans="1:52" ht="13.5" customHeight="1" x14ac:dyDescent="0.2">
      <c r="A33" s="138" t="str">
        <f t="shared" si="0"/>
        <v/>
      </c>
      <c r="B33" s="139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35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35"/>
      <c r="Z33" s="36"/>
      <c r="AA33" s="37"/>
      <c r="AB33" s="35"/>
      <c r="AC33" s="36"/>
      <c r="AD33" s="37"/>
      <c r="AE33" s="35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8"/>
    </row>
    <row r="34" spans="1:52" ht="13.5" customHeight="1" x14ac:dyDescent="0.2">
      <c r="A34" s="138" t="str">
        <f t="shared" si="0"/>
        <v/>
      </c>
      <c r="B34" s="139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35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35"/>
      <c r="Z34" s="36"/>
      <c r="AA34" s="37"/>
      <c r="AB34" s="35"/>
      <c r="AC34" s="36"/>
      <c r="AD34" s="37"/>
      <c r="AE34" s="35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8"/>
    </row>
    <row r="35" spans="1:52" ht="13.5" customHeight="1" thickBot="1" x14ac:dyDescent="0.25">
      <c r="A35" s="136" t="str">
        <f t="shared" si="0"/>
        <v/>
      </c>
      <c r="B35" s="137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39"/>
      <c r="O35" s="40"/>
      <c r="P35" s="40"/>
      <c r="Q35" s="40"/>
      <c r="R35" s="40"/>
      <c r="S35" s="40"/>
      <c r="T35" s="40"/>
      <c r="U35" s="40"/>
      <c r="V35" s="40"/>
      <c r="W35" s="40"/>
      <c r="X35" s="41"/>
      <c r="Y35" s="39"/>
      <c r="Z35" s="40"/>
      <c r="AA35" s="41"/>
      <c r="AB35" s="39"/>
      <c r="AC35" s="40"/>
      <c r="AD35" s="41"/>
      <c r="AE35" s="39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2"/>
    </row>
  </sheetData>
  <mergeCells count="92">
    <mergeCell ref="C9:M9"/>
    <mergeCell ref="C21:M21"/>
    <mergeCell ref="A1:D3"/>
    <mergeCell ref="Q1:W1"/>
    <mergeCell ref="X1:AD1"/>
    <mergeCell ref="E3:I3"/>
    <mergeCell ref="Q2:W3"/>
    <mergeCell ref="X2:AD3"/>
    <mergeCell ref="J3:P3"/>
    <mergeCell ref="E1:P2"/>
    <mergeCell ref="C14:M14"/>
    <mergeCell ref="C15:M15"/>
    <mergeCell ref="C16:M16"/>
    <mergeCell ref="C17:M17"/>
    <mergeCell ref="C10:M10"/>
    <mergeCell ref="C11:M11"/>
    <mergeCell ref="AE2:AK3"/>
    <mergeCell ref="AL1:AN1"/>
    <mergeCell ref="AL2:AN2"/>
    <mergeCell ref="AL3:AN3"/>
    <mergeCell ref="AE1:AK1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C12:M12"/>
    <mergeCell ref="C13:M13"/>
    <mergeCell ref="C18:M18"/>
    <mergeCell ref="C19:M19"/>
    <mergeCell ref="C20:M20"/>
    <mergeCell ref="C27:M27"/>
    <mergeCell ref="C22:M22"/>
    <mergeCell ref="C23:M23"/>
    <mergeCell ref="C24:M24"/>
    <mergeCell ref="C25:M25"/>
    <mergeCell ref="C26:M26"/>
    <mergeCell ref="C35:M35"/>
    <mergeCell ref="C28:M28"/>
    <mergeCell ref="C29:M29"/>
    <mergeCell ref="C30:M30"/>
    <mergeCell ref="C31:M31"/>
    <mergeCell ref="C32:M32"/>
    <mergeCell ref="C33:M33"/>
    <mergeCell ref="C34:M34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N6:X6"/>
    <mergeCell ref="Y6:AA6"/>
    <mergeCell ref="AB6:AD6"/>
    <mergeCell ref="C7:M7"/>
    <mergeCell ref="C6:M6"/>
    <mergeCell ref="C8:M8"/>
    <mergeCell ref="A10:B10"/>
    <mergeCell ref="A11:B11"/>
    <mergeCell ref="A12:B12"/>
    <mergeCell ref="A13:B13"/>
    <mergeCell ref="A14:B14"/>
    <mergeCell ref="A24:B24"/>
    <mergeCell ref="A15:B15"/>
    <mergeCell ref="A16:B16"/>
    <mergeCell ref="A17:B17"/>
    <mergeCell ref="A18:B18"/>
    <mergeCell ref="A19:B19"/>
    <mergeCell ref="A33:B33"/>
    <mergeCell ref="A34:B34"/>
    <mergeCell ref="A35:B35"/>
    <mergeCell ref="AE6:AZ6"/>
    <mergeCell ref="A30:B30"/>
    <mergeCell ref="A31:B31"/>
    <mergeCell ref="A32:B32"/>
    <mergeCell ref="A25:B25"/>
    <mergeCell ref="A26:B26"/>
    <mergeCell ref="A27:B27"/>
    <mergeCell ref="A28:B28"/>
    <mergeCell ref="A29:B29"/>
    <mergeCell ref="A20:B20"/>
    <mergeCell ref="A21:B21"/>
    <mergeCell ref="A22:B22"/>
    <mergeCell ref="A23:B23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表紙</vt:lpstr>
      <vt:lpstr>単体テスト仕様書</vt:lpstr>
      <vt:lpstr>マトリクス</vt:lpstr>
      <vt:lpstr>マトリクス(記入例)</vt:lpstr>
      <vt:lpstr>マトリクス!Print_Titles</vt:lpstr>
      <vt:lpstr>'マトリクス(記入例)'!Print_Titles</vt:lpstr>
      <vt:lpstr>単体テスト仕様書!Print_Titles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ES事 門田 遥(KADOTA HARUKA)</cp:lastModifiedBy>
  <cp:revision/>
  <dcterms:created xsi:type="dcterms:W3CDTF">2018-10-17T23:41:31Z</dcterms:created>
  <dcterms:modified xsi:type="dcterms:W3CDTF">2025-10-28T02:00:43Z</dcterms:modified>
  <cp:category/>
  <cp:contentStatus/>
</cp:coreProperties>
</file>